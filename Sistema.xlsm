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S:\____VBA DOWNLOADS\_____COMPILADO\SISTEMA RURAL\"/>
    </mc:Choice>
  </mc:AlternateContent>
  <xr:revisionPtr revIDLastSave="0" documentId="13_ncr:1_{321387DA-5027-4A40-9CA3-73B0FABE3C66}" xr6:coauthVersionLast="47" xr6:coauthVersionMax="47" xr10:uidLastSave="{00000000-0000-0000-0000-000000000000}"/>
  <bookViews>
    <workbookView xWindow="-120" yWindow="-120" windowWidth="20730" windowHeight="11040" activeTab="2" xr2:uid="{17788FE8-1760-46EC-93CA-626103289FBA}"/>
  </bookViews>
  <sheets>
    <sheet name="Planilha1" sheetId="1" r:id="rId1"/>
    <sheet name="DADOS" sheetId="2" r:id="rId2"/>
    <sheet name="Planilha3" sheetId="3" r:id="rId3"/>
    <sheet name="RELATORIO" sheetId="4" r:id="rId4"/>
  </sheets>
  <externalReferences>
    <externalReference r:id="rId5"/>
  </externalReferences>
  <definedNames>
    <definedName name="Cidade">[1]Cadastro!$D$10</definedName>
    <definedName name="CNPJ">[1]Cadastro!$G$7</definedName>
    <definedName name="Defeitos">Planilha3!$A$3:$A$18</definedName>
    <definedName name="Extrinsecos">Planilha3!$A$11:$A$18</definedName>
    <definedName name="Intrinsecos">Planilha3!$A$3:$A$10</definedName>
    <definedName name="Telefone">[1]Cadastro!$G$5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4" i="4" l="1"/>
</calcChain>
</file>

<file path=xl/sharedStrings.xml><?xml version="1.0" encoding="utf-8"?>
<sst xmlns="http://schemas.openxmlformats.org/spreadsheetml/2006/main" count="412" uniqueCount="252">
  <si>
    <t>ID</t>
  </si>
  <si>
    <t>Produtor</t>
  </si>
  <si>
    <t>CPF</t>
  </si>
  <si>
    <t>Telefone</t>
  </si>
  <si>
    <t>CNPJ</t>
  </si>
  <si>
    <t>Nº</t>
  </si>
  <si>
    <t>CEP</t>
  </si>
  <si>
    <t>Cidade</t>
  </si>
  <si>
    <t xml:space="preserve"> Abertura</t>
  </si>
  <si>
    <t xml:space="preserve"> Fechamento</t>
  </si>
  <si>
    <t>Estado</t>
  </si>
  <si>
    <t>Fazenda</t>
  </si>
  <si>
    <t>Email</t>
  </si>
  <si>
    <t>Rua</t>
  </si>
  <si>
    <t>Amostra</t>
  </si>
  <si>
    <t>Nº Lote</t>
  </si>
  <si>
    <t>Variedade</t>
  </si>
  <si>
    <t>Padrão</t>
  </si>
  <si>
    <t>Cultivar</t>
  </si>
  <si>
    <t>Processo</t>
  </si>
  <si>
    <t>Seca</t>
  </si>
  <si>
    <t>Altitude</t>
  </si>
  <si>
    <t>Aspecto</t>
  </si>
  <si>
    <t>Gleba</t>
  </si>
  <si>
    <t>Sacas</t>
  </si>
  <si>
    <t>Safra Ano</t>
  </si>
  <si>
    <t>Lote Corrido</t>
  </si>
  <si>
    <t>Café Coco</t>
  </si>
  <si>
    <t>Bica Corrida</t>
  </si>
  <si>
    <t>Cor</t>
  </si>
  <si>
    <t>PVA</t>
  </si>
  <si>
    <t>Umidade</t>
  </si>
  <si>
    <t>Renda</t>
  </si>
  <si>
    <t>Cata</t>
  </si>
  <si>
    <t>Observações</t>
  </si>
  <si>
    <t>Preto</t>
  </si>
  <si>
    <t>Preto Verde</t>
  </si>
  <si>
    <t>Ardido</t>
  </si>
  <si>
    <t>Verde</t>
  </si>
  <si>
    <t>Quebrado</t>
  </si>
  <si>
    <t>Mau Granado/ Chocho</t>
  </si>
  <si>
    <t xml:space="preserve">Brocado Limpo </t>
  </si>
  <si>
    <t xml:space="preserve">Brocado Sujo </t>
  </si>
  <si>
    <t>Coco</t>
  </si>
  <si>
    <t>Marinheiro</t>
  </si>
  <si>
    <t>Casca Gd</t>
  </si>
  <si>
    <t>Fragmentos de Casca</t>
  </si>
  <si>
    <t>Pau/Pedra/Torrão Gd</t>
  </si>
  <si>
    <t>Pau/Pedra/Torrão Md</t>
  </si>
  <si>
    <t>Pau/Pedra/Torrão Pq</t>
  </si>
  <si>
    <t xml:space="preserve">Outras Sementes </t>
  </si>
  <si>
    <t>Catação</t>
  </si>
  <si>
    <t xml:space="preserve">Impurezas  </t>
  </si>
  <si>
    <t>Peso Inicial</t>
  </si>
  <si>
    <t>Chato 19</t>
  </si>
  <si>
    <t>Chato 18</t>
  </si>
  <si>
    <t>Chato 17</t>
  </si>
  <si>
    <t>Chato 16</t>
  </si>
  <si>
    <t>Chato 15</t>
  </si>
  <si>
    <t>Chato 14</t>
  </si>
  <si>
    <t>Chato 13</t>
  </si>
  <si>
    <t>Chato 10</t>
  </si>
  <si>
    <t>Moca 13</t>
  </si>
  <si>
    <t>Moca 12</t>
  </si>
  <si>
    <t>Moca 11</t>
  </si>
  <si>
    <t>Moca 10</t>
  </si>
  <si>
    <t>Moca 09</t>
  </si>
  <si>
    <t>Moca 08</t>
  </si>
  <si>
    <t>Fundo</t>
  </si>
  <si>
    <t>Grau de Torra</t>
  </si>
  <si>
    <t xml:space="preserve">Fragancia /Aroma </t>
  </si>
  <si>
    <t>Sabor</t>
  </si>
  <si>
    <t>Retrogosto</t>
  </si>
  <si>
    <t>Salinidade /Acidez</t>
  </si>
  <si>
    <t xml:space="preserve">Amargor /Doçura </t>
  </si>
  <si>
    <t>Sensação na Boca</t>
  </si>
  <si>
    <t>Uniformidade</t>
  </si>
  <si>
    <t>Equilíbrio</t>
  </si>
  <si>
    <t>Limpeza</t>
  </si>
  <si>
    <t>Conjunto</t>
  </si>
  <si>
    <t xml:space="preserve">Pontuação Total </t>
  </si>
  <si>
    <t xml:space="preserve">Defeito </t>
  </si>
  <si>
    <t xml:space="preserve">Resultado Final </t>
  </si>
  <si>
    <t>Regiao</t>
  </si>
  <si>
    <t>Bairro</t>
  </si>
  <si>
    <t>Amostra:</t>
  </si>
  <si>
    <t>DADOS DO PRODUTOR</t>
  </si>
  <si>
    <t>Id:</t>
  </si>
  <si>
    <t>Produtor:</t>
  </si>
  <si>
    <t>CPF:</t>
  </si>
  <si>
    <t>Fazenda:</t>
  </si>
  <si>
    <t>CNPJ:</t>
  </si>
  <si>
    <t>Email:</t>
  </si>
  <si>
    <t>Telefone:</t>
  </si>
  <si>
    <t>Endereço:</t>
  </si>
  <si>
    <t>Cidade:</t>
  </si>
  <si>
    <t>Abertura:</t>
  </si>
  <si>
    <t>Fechamento:</t>
  </si>
  <si>
    <t>Região:</t>
  </si>
  <si>
    <t>DADOS DO LOTE</t>
  </si>
  <si>
    <t>Número:</t>
  </si>
  <si>
    <t>Variedade:</t>
  </si>
  <si>
    <t>Gleba:</t>
  </si>
  <si>
    <t>Padrão:</t>
  </si>
  <si>
    <t>Sacas:</t>
  </si>
  <si>
    <t>Cultivar:</t>
  </si>
  <si>
    <t>Safra Ano:</t>
  </si>
  <si>
    <t>Processo:</t>
  </si>
  <si>
    <t>Lote Corrido:</t>
  </si>
  <si>
    <t>Seca:</t>
  </si>
  <si>
    <t>Café Coco:</t>
  </si>
  <si>
    <t>Altitude:</t>
  </si>
  <si>
    <t>Bica Corrida:</t>
  </si>
  <si>
    <t>Aspecto:</t>
  </si>
  <si>
    <t>Cor:</t>
  </si>
  <si>
    <t>PVA:</t>
  </si>
  <si>
    <t>Umidade:</t>
  </si>
  <si>
    <t>Renda:</t>
  </si>
  <si>
    <t>Cata:</t>
  </si>
  <si>
    <t>Observações:</t>
  </si>
  <si>
    <t xml:space="preserve"> AVALIAÇÃO FÍSICA (PENEIRAS)</t>
  </si>
  <si>
    <t>Chatos</t>
  </si>
  <si>
    <t>Mocas</t>
  </si>
  <si>
    <t>P18:</t>
  </si>
  <si>
    <t>P12:</t>
  </si>
  <si>
    <t>P17:</t>
  </si>
  <si>
    <t>P11:</t>
  </si>
  <si>
    <t>P16:</t>
  </si>
  <si>
    <t>P10:</t>
  </si>
  <si>
    <t>P15:</t>
  </si>
  <si>
    <t>P09:</t>
  </si>
  <si>
    <t>P14:</t>
  </si>
  <si>
    <t>P08:</t>
  </si>
  <si>
    <t>P13:</t>
  </si>
  <si>
    <t>Fundo:</t>
  </si>
  <si>
    <t>Classificação</t>
  </si>
  <si>
    <t>AVALIAÇÃO FIÍSICA (CLASSIFICAÇÃO)</t>
  </si>
  <si>
    <t xml:space="preserve"> Intrínsecos</t>
  </si>
  <si>
    <t>Qtd.</t>
  </si>
  <si>
    <t>(%)</t>
  </si>
  <si>
    <t xml:space="preserve"> Extrínsecos</t>
  </si>
  <si>
    <t>Casca Grande</t>
  </si>
  <si>
    <t>Casca PQ e MD</t>
  </si>
  <si>
    <t>Pau, Pedra e Torrão PQ</t>
  </si>
  <si>
    <t>Pau, Pedra e Torrão MD</t>
  </si>
  <si>
    <t>Pau, Pedra e Torrão GD</t>
  </si>
  <si>
    <t xml:space="preserve">Total Brocado </t>
  </si>
  <si>
    <t>Impurezas (%)</t>
  </si>
  <si>
    <t>Aproveitamento (%)</t>
  </si>
  <si>
    <t>Tipo:</t>
  </si>
  <si>
    <t>AVALIAÇÃO SESORIAL</t>
  </si>
  <si>
    <t>NOTAS</t>
  </si>
  <si>
    <t>CLASSIFICAÇÃO DA BEBIDA</t>
  </si>
  <si>
    <t>BEBIDA</t>
  </si>
  <si>
    <t>XÍCARAS</t>
  </si>
  <si>
    <t xml:space="preserve">DEFEITO SENSORIAL </t>
  </si>
  <si>
    <t>Estritamente Mole</t>
  </si>
  <si>
    <t>Terra</t>
  </si>
  <si>
    <t>Mole</t>
  </si>
  <si>
    <t>Mofo</t>
  </si>
  <si>
    <t>Apenas Mole</t>
  </si>
  <si>
    <t>Químico</t>
  </si>
  <si>
    <t>Duro</t>
  </si>
  <si>
    <t>Fumaça</t>
  </si>
  <si>
    <t>Duro Verde</t>
  </si>
  <si>
    <t xml:space="preserve">Duro Fermentado </t>
  </si>
  <si>
    <t xml:space="preserve">Duro Sujo </t>
  </si>
  <si>
    <t xml:space="preserve">Duro Ácido </t>
  </si>
  <si>
    <t xml:space="preserve">Duro remanescente </t>
  </si>
  <si>
    <t xml:space="preserve">Duro sem Corpo </t>
  </si>
  <si>
    <t xml:space="preserve">Riado </t>
  </si>
  <si>
    <t xml:space="preserve">Riado velho </t>
  </si>
  <si>
    <t xml:space="preserve">Rio </t>
  </si>
  <si>
    <t xml:space="preserve">Rio Zona </t>
  </si>
  <si>
    <t xml:space="preserve">Rio Macaco </t>
  </si>
  <si>
    <t xml:space="preserve">LAUDO DE ACORDO COM A AMOSTRA ENVIADA, PODENDO SOFRER  ALTERAÇÕES  </t>
  </si>
  <si>
    <t>Avaliador e responsável por elaborar o laudo:</t>
  </si>
  <si>
    <t>____________________________________________________________</t>
  </si>
  <si>
    <t>JOAQUIM I S NETO</t>
  </si>
  <si>
    <t>Rosa &amp; Setorio LTDA</t>
  </si>
  <si>
    <t>CNPJ: 26.648.530/0001-34</t>
  </si>
  <si>
    <t>Local:</t>
  </si>
  <si>
    <t xml:space="preserve">     Rua: Maria silva Lima Nº 405, Palomos</t>
  </si>
  <si>
    <t>Data:</t>
  </si>
  <si>
    <t xml:space="preserve">                CEP: 31.570 -000 , Ouro Fino</t>
  </si>
  <si>
    <t>UF:</t>
  </si>
  <si>
    <t>Espécie</t>
  </si>
  <si>
    <t>Espécie:</t>
  </si>
  <si>
    <t>hf</t>
  </si>
  <si>
    <t>fhfh</t>
  </si>
  <si>
    <t>fh.fhf</t>
  </si>
  <si>
    <t>(hf</t>
  </si>
  <si>
    <t>30626-660</t>
  </si>
  <si>
    <t>Rua José Ovídio Guerra</t>
  </si>
  <si>
    <t>cg</t>
  </si>
  <si>
    <t>fh</t>
  </si>
  <si>
    <t>Belo Horizonte</t>
  </si>
  <si>
    <t>MG</t>
  </si>
  <si>
    <t>Cardoso (Barreiro)</t>
  </si>
  <si>
    <t xml:space="preserve"> cxv</t>
  </si>
  <si>
    <t>ye</t>
  </si>
  <si>
    <t>teee</t>
  </si>
  <si>
    <t>sdg</t>
  </si>
  <si>
    <t>gd</t>
  </si>
  <si>
    <t>rte</t>
  </si>
  <si>
    <t>rtr</t>
  </si>
  <si>
    <t>ey</t>
  </si>
  <si>
    <t>rye</t>
  </si>
  <si>
    <t>e</t>
  </si>
  <si>
    <t>yee</t>
  </si>
  <si>
    <t>y</t>
  </si>
  <si>
    <t>eye</t>
  </si>
  <si>
    <t>yey</t>
  </si>
  <si>
    <t>eyy</t>
  </si>
  <si>
    <t>pklfg</t>
  </si>
  <si>
    <t>gd.df</t>
  </si>
  <si>
    <t>(gd) f</t>
  </si>
  <si>
    <t>30626-600</t>
  </si>
  <si>
    <t>Rua Solidariedade</t>
  </si>
  <si>
    <t>dg</t>
  </si>
  <si>
    <t>Flávio de Oliveira (Barreiro)</t>
  </si>
  <si>
    <t>cvb</t>
  </si>
  <si>
    <t>df</t>
  </si>
  <si>
    <t>fd</t>
  </si>
  <si>
    <t>d</t>
  </si>
  <si>
    <t>f</t>
  </si>
  <si>
    <t>dgf</t>
  </si>
  <si>
    <t>Mau Granado/Chocho</t>
  </si>
  <si>
    <t xml:space="preserve">Peso  Inicial </t>
  </si>
  <si>
    <t>Brocado Sujo</t>
  </si>
  <si>
    <t>Brocado Limpo</t>
  </si>
  <si>
    <t>Casca Md ou Pq</t>
  </si>
  <si>
    <t>T</t>
  </si>
  <si>
    <t>(T</t>
  </si>
  <si>
    <t>38405-096</t>
  </si>
  <si>
    <t>Avenida África</t>
  </si>
  <si>
    <t>H</t>
  </si>
  <si>
    <t>Uberlândia</t>
  </si>
  <si>
    <t>Tibery</t>
  </si>
  <si>
    <t>Y</t>
  </si>
  <si>
    <t>YYYYYYYYY</t>
  </si>
  <si>
    <t>S</t>
  </si>
  <si>
    <t>(S</t>
  </si>
  <si>
    <t>J</t>
  </si>
  <si>
    <t>JJJ</t>
  </si>
  <si>
    <t>L</t>
  </si>
  <si>
    <t>(L</t>
  </si>
  <si>
    <t>jose</t>
  </si>
  <si>
    <t>maria</t>
  </si>
  <si>
    <t>mane</t>
  </si>
  <si>
    <t>rosa</t>
  </si>
  <si>
    <t>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</si>
</sst>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9"/>
      <color theme="2" tint="-0.499984740745262"/>
      <name val="Microsoft YaHei"/>
      <family val="2"/>
    </font>
    <font>
      <sz val="1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0"/>
      <name val="Segoe UI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Microsoft YaHei"/>
      <family val="2"/>
    </font>
    <font>
      <b/>
      <sz val="11"/>
      <color theme="1"/>
      <name val="Microsoft YaHei"/>
      <family val="2"/>
    </font>
    <font>
      <sz val="9"/>
      <color theme="1"/>
      <name val="Calibri"/>
      <family val="2"/>
      <scheme val="minor"/>
    </font>
    <font>
      <b/>
      <sz val="10"/>
      <color theme="1"/>
      <name val="Microsoft YaHei"/>
      <family val="2"/>
    </font>
    <font>
      <sz val="11"/>
      <color theme="1"/>
      <name val="Microsoft YaHei"/>
      <family val="2"/>
    </font>
    <font>
      <sz val="9"/>
      <color theme="1"/>
      <name val="Microsoft YaHei"/>
      <family val="2"/>
    </font>
    <font>
      <sz val="10"/>
      <color theme="1"/>
      <name val="Microsoft YaHei"/>
      <family val="2"/>
    </font>
    <font>
      <b/>
      <sz val="8"/>
      <color theme="1"/>
      <name val="Microsoft YaHei"/>
      <family val="2"/>
    </font>
    <font>
      <b/>
      <sz val="12"/>
      <color theme="1"/>
      <name val="Microsoft YaHe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69842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CD45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50">
    <xf numFmtId="0" fontId="0" fillId="0" borderId="0" xfId="0"/>
    <xf numFmtId="0" fontId="2" fillId="2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1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 wrapText="1"/>
    </xf>
    <xf numFmtId="0" fontId="0" fillId="4" borderId="3" xfId="0" applyFill="1" applyBorder="1" applyAlignment="1">
      <alignment vertical="center"/>
    </xf>
    <xf numFmtId="0" fontId="0" fillId="4" borderId="4" xfId="0" applyFill="1" applyBorder="1"/>
    <xf numFmtId="0" fontId="10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/>
    <xf numFmtId="0" fontId="11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vertical="center"/>
    </xf>
    <xf numFmtId="0" fontId="12" fillId="5" borderId="6" xfId="0" applyFont="1" applyFill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14" fontId="0" fillId="0" borderId="0" xfId="0" applyNumberFormat="1"/>
    <xf numFmtId="14" fontId="13" fillId="0" borderId="0" xfId="0" applyNumberFormat="1" applyFont="1" applyAlignment="1">
      <alignment horizontal="left" vertical="center"/>
    </xf>
    <xf numFmtId="14" fontId="1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5" xfId="0" applyFont="1" applyBorder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8" fillId="0" borderId="5" xfId="1" applyFont="1" applyBorder="1" applyAlignment="1">
      <alignment horizontal="left" vertical="center" indent="1"/>
    </xf>
    <xf numFmtId="0" fontId="0" fillId="0" borderId="6" xfId="0" applyBorder="1" applyAlignment="1">
      <alignment horizontal="left" indent="1"/>
    </xf>
    <xf numFmtId="0" fontId="10" fillId="0" borderId="5" xfId="0" applyFont="1" applyBorder="1"/>
    <xf numFmtId="0" fontId="8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9" fontId="15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4" xfId="0" applyBorder="1" applyAlignment="1">
      <alignment vertical="center"/>
    </xf>
    <xf numFmtId="0" fontId="10" fillId="0" borderId="2" xfId="0" applyFont="1" applyBorder="1"/>
    <xf numFmtId="0" fontId="11" fillId="6" borderId="5" xfId="0" applyFont="1" applyFill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0" fontId="8" fillId="0" borderId="8" xfId="0" applyFont="1" applyBorder="1" applyAlignment="1">
      <alignment horizontal="right" vertical="center"/>
    </xf>
    <xf numFmtId="0" fontId="8" fillId="0" borderId="9" xfId="0" applyFont="1" applyBorder="1" applyAlignment="1">
      <alignment horizontal="right" vertical="center"/>
    </xf>
    <xf numFmtId="0" fontId="9" fillId="0" borderId="9" xfId="0" applyFont="1" applyBorder="1" applyAlignment="1">
      <alignment horizontal="left" vertical="center"/>
    </xf>
    <xf numFmtId="0" fontId="11" fillId="0" borderId="9" xfId="0" applyFont="1" applyBorder="1" applyAlignment="1">
      <alignment horizontal="right" vertical="center"/>
    </xf>
    <xf numFmtId="0" fontId="8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3" fillId="0" borderId="0" xfId="0" applyFont="1"/>
    <xf numFmtId="0" fontId="12" fillId="0" borderId="0" xfId="0" applyFont="1" applyAlignment="1">
      <alignment vertical="center"/>
    </xf>
    <xf numFmtId="0" fontId="12" fillId="0" borderId="6" xfId="0" applyFont="1" applyBorder="1"/>
    <xf numFmtId="0" fontId="13" fillId="0" borderId="5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8" xfId="0" applyFont="1" applyBorder="1" applyAlignment="1">
      <alignment horizontal="left" vertical="center"/>
    </xf>
    <xf numFmtId="0" fontId="8" fillId="0" borderId="9" xfId="0" applyFont="1" applyBorder="1" applyAlignment="1">
      <alignment vertical="center" wrapText="1"/>
    </xf>
    <xf numFmtId="0" fontId="12" fillId="0" borderId="9" xfId="0" applyFont="1" applyBorder="1" applyAlignment="1">
      <alignment horizontal="center"/>
    </xf>
    <xf numFmtId="0" fontId="12" fillId="0" borderId="9" xfId="0" applyFont="1" applyBorder="1"/>
    <xf numFmtId="0" fontId="12" fillId="0" borderId="10" xfId="0" applyFont="1" applyBorder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8" fillId="0" borderId="0" xfId="0" applyFont="1" applyAlignment="1">
      <alignment horizontal="right" vertical="center"/>
    </xf>
    <xf numFmtId="0" fontId="14" fillId="5" borderId="0" xfId="0" applyFont="1" applyFill="1" applyAlignment="1">
      <alignment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Alignment="1">
      <alignment horizontal="right" vertical="center"/>
    </xf>
    <xf numFmtId="0" fontId="11" fillId="4" borderId="0" xfId="0" applyFont="1" applyFill="1" applyAlignment="1">
      <alignment horizontal="left" vertical="center"/>
    </xf>
    <xf numFmtId="0" fontId="14" fillId="5" borderId="6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14" fontId="4" fillId="0" borderId="0" xfId="0" applyNumberFormat="1" applyFont="1" applyAlignment="1">
      <alignment horizontal="left" vertical="center"/>
    </xf>
    <xf numFmtId="0" fontId="4" fillId="8" borderId="0" xfId="0" applyFont="1" applyFill="1" applyAlignment="1">
      <alignment horizontal="left" vertical="center"/>
    </xf>
    <xf numFmtId="0" fontId="4" fillId="8" borderId="0" xfId="1" applyFont="1" applyFill="1" applyAlignment="1">
      <alignment horizontal="left" vertical="center"/>
    </xf>
    <xf numFmtId="0" fontId="0" fillId="8" borderId="0" xfId="0" applyFill="1"/>
    <xf numFmtId="0" fontId="2" fillId="8" borderId="0" xfId="0" applyFont="1" applyFill="1" applyAlignment="1">
      <alignment horizontal="right" vertical="center"/>
    </xf>
    <xf numFmtId="0" fontId="6" fillId="8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6" fillId="4" borderId="0" xfId="0" applyFont="1" applyFill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6" xfId="0" applyFont="1" applyBorder="1" applyAlignment="1">
      <alignment horizontal="center"/>
    </xf>
    <xf numFmtId="0" fontId="8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11" fillId="4" borderId="6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6" xfId="0" applyFont="1" applyBorder="1" applyAlignment="1">
      <alignment horizontal="left" vertical="center" indent="1"/>
    </xf>
    <xf numFmtId="0" fontId="8" fillId="0" borderId="5" xfId="0" applyFont="1" applyBorder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indent="1"/>
    </xf>
    <xf numFmtId="0" fontId="13" fillId="0" borderId="6" xfId="0" applyFont="1" applyBorder="1" applyAlignment="1">
      <alignment horizontal="left" vertical="center"/>
    </xf>
    <xf numFmtId="14" fontId="8" fillId="0" borderId="0" xfId="0" applyNumberFormat="1" applyFont="1" applyAlignment="1">
      <alignment horizontal="right" vertical="center"/>
    </xf>
    <xf numFmtId="0" fontId="9" fillId="0" borderId="3" xfId="0" applyFont="1" applyBorder="1" applyAlignment="1">
      <alignment horizontal="center" vertical="center"/>
    </xf>
    <xf numFmtId="0" fontId="9" fillId="4" borderId="3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B2F89E22-CBF0-43F0-A627-19FE0DD32098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>
          <fgColor indexed="64"/>
          <bgColor theme="0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832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931358840727084E-2"/>
          <c:y val="4.3821781476626204E-3"/>
          <c:w val="0.84915931913516762"/>
          <c:h val="0.91352812581388854"/>
        </c:manualLayout>
      </c:layout>
      <c:doughnutChart>
        <c:varyColors val="1"/>
        <c:ser>
          <c:idx val="0"/>
          <c:order val="0"/>
          <c:tx>
            <c:strRef>
              <c:f>RELATORIO!$A$25</c:f>
              <c:strCache>
                <c:ptCount val="1"/>
                <c:pt idx="0">
                  <c:v>Chatos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B6-4DB3-B59A-97402A8F69A0}"/>
              </c:ext>
            </c:extLst>
          </c:dPt>
          <c:dPt>
            <c:idx val="1"/>
            <c:bubble3D val="0"/>
            <c:spPr>
              <a:solidFill>
                <a:schemeClr val="accent6">
                  <a:tint val="6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B6-4DB3-B59A-97402A8F69A0}"/>
              </c:ext>
            </c:extLst>
          </c:dPt>
          <c:dPt>
            <c:idx val="2"/>
            <c:bubble3D val="0"/>
            <c:spPr>
              <a:solidFill>
                <a:schemeClr val="accent6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B6-4DB3-B59A-97402A8F69A0}"/>
              </c:ext>
            </c:extLst>
          </c:dPt>
          <c:dPt>
            <c:idx val="3"/>
            <c:bubble3D val="0"/>
            <c:spPr>
              <a:solidFill>
                <a:schemeClr val="accent6">
                  <a:tint val="9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4B6-4DB3-B59A-97402A8F69A0}"/>
              </c:ext>
            </c:extLst>
          </c:dPt>
          <c:dPt>
            <c:idx val="4"/>
            <c:bubble3D val="0"/>
            <c:spPr>
              <a:solidFill>
                <a:schemeClr val="accent6">
                  <a:shade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4B6-4DB3-B59A-97402A8F69A0}"/>
              </c:ext>
            </c:extLst>
          </c:dPt>
          <c:dPt>
            <c:idx val="5"/>
            <c:bubble3D val="0"/>
            <c:spPr>
              <a:solidFill>
                <a:schemeClr val="accent6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4B6-4DB3-B59A-97402A8F69A0}"/>
              </c:ext>
            </c:extLst>
          </c:dPt>
          <c:dPt>
            <c:idx val="6"/>
            <c:bubble3D val="0"/>
            <c:spPr>
              <a:solidFill>
                <a:schemeClr val="accent6">
                  <a:shade val="6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4B6-4DB3-B59A-97402A8F69A0}"/>
              </c:ext>
            </c:extLst>
          </c:dPt>
          <c:dPt>
            <c:idx val="7"/>
            <c:bubble3D val="0"/>
            <c:spPr>
              <a:solidFill>
                <a:schemeClr val="accent6">
                  <a:shade val="4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4B6-4DB3-B59A-97402A8F69A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RELATORIO!$A$26:$A$33</c:f>
              <c:strCache>
                <c:ptCount val="8"/>
                <c:pt idx="0">
                  <c:v>P18:</c:v>
                </c:pt>
                <c:pt idx="1">
                  <c:v>P17:</c:v>
                </c:pt>
                <c:pt idx="2">
                  <c:v>P16:</c:v>
                </c:pt>
                <c:pt idx="3">
                  <c:v>P15:</c:v>
                </c:pt>
                <c:pt idx="4">
                  <c:v>P14:</c:v>
                </c:pt>
                <c:pt idx="5">
                  <c:v>P13:</c:v>
                </c:pt>
                <c:pt idx="6">
                  <c:v>P10:</c:v>
                </c:pt>
                <c:pt idx="7">
                  <c:v>Fundo:</c:v>
                </c:pt>
              </c:strCache>
            </c:strRef>
          </c:cat>
          <c:val>
            <c:numRef>
              <c:f>RELATORIO!$B$26:$B$33</c:f>
              <c:numCache>
                <c:formatCode>General</c:formatCode>
                <c:ptCount val="8"/>
                <c:pt idx="2">
                  <c:v>48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4B6-4DB3-B59A-97402A8F6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6"/>
        <c:holeSize val="4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14356984002955"/>
          <c:y val="1.2451293944551469E-2"/>
          <c:w val="0.85092836677857997"/>
          <c:h val="0.92672364885505687"/>
        </c:manualLayout>
      </c:layout>
      <c:doughnutChart>
        <c:varyColors val="1"/>
        <c:ser>
          <c:idx val="0"/>
          <c:order val="0"/>
          <c:tx>
            <c:strRef>
              <c:f>RELATORIO!$C$25</c:f>
              <c:strCache>
                <c:ptCount val="1"/>
                <c:pt idx="0">
                  <c:v>Mocas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534-4DFC-8921-893E350A975B}"/>
              </c:ext>
            </c:extLst>
          </c:dPt>
          <c:dPt>
            <c:idx val="1"/>
            <c:bubble3D val="0"/>
            <c:spPr>
              <a:solidFill>
                <a:schemeClr val="accent4">
                  <a:shade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534-4DFC-8921-893E350A975B}"/>
              </c:ext>
            </c:extLst>
          </c:dPt>
          <c:dPt>
            <c:idx val="2"/>
            <c:bubble3D val="0"/>
            <c:spPr>
              <a:solidFill>
                <a:schemeClr val="accent4">
                  <a:shade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534-4DFC-8921-893E350A975B}"/>
              </c:ext>
            </c:extLst>
          </c:dPt>
          <c:dPt>
            <c:idx val="3"/>
            <c:bubble3D val="0"/>
            <c:spPr>
              <a:solidFill>
                <a:schemeClr val="accent4">
                  <a:tint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534-4DFC-8921-893E350A975B}"/>
              </c:ext>
            </c:extLst>
          </c:dPt>
          <c:dPt>
            <c:idx val="4"/>
            <c:bubble3D val="0"/>
            <c:spPr>
              <a:solidFill>
                <a:schemeClr val="accent4">
                  <a:tint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534-4DFC-8921-893E350A975B}"/>
              </c:ext>
            </c:extLst>
          </c:dPt>
          <c:dPt>
            <c:idx val="5"/>
            <c:bubble3D val="0"/>
            <c:spPr>
              <a:solidFill>
                <a:schemeClr val="accent4">
                  <a:tint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534-4DFC-8921-893E350A975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RELATORIO!$C$26:$C$31</c:f>
              <c:strCache>
                <c:ptCount val="6"/>
                <c:pt idx="0">
                  <c:v>P12:</c:v>
                </c:pt>
                <c:pt idx="1">
                  <c:v>P11:</c:v>
                </c:pt>
                <c:pt idx="2">
                  <c:v>P10:</c:v>
                </c:pt>
                <c:pt idx="3">
                  <c:v>P09:</c:v>
                </c:pt>
                <c:pt idx="4">
                  <c:v>P08:</c:v>
                </c:pt>
                <c:pt idx="5">
                  <c:v>Fundo:</c:v>
                </c:pt>
              </c:strCache>
            </c:strRef>
          </c:cat>
          <c:val>
            <c:numRef>
              <c:f>RELATORIO!$D$26:$D$31</c:f>
              <c:numCache>
                <c:formatCode>General</c:formatCode>
                <c:ptCount val="6"/>
                <c:pt idx="2">
                  <c:v>4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534-4DFC-8921-893E350A9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6"/>
        <c:holeSize val="4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248479</xdr:colOff>
      <xdr:row>27</xdr:row>
      <xdr:rowOff>99391</xdr:rowOff>
    </xdr:from>
    <xdr:to>
      <xdr:col>17</xdr:col>
      <xdr:colOff>4971</xdr:colOff>
      <xdr:row>53</xdr:row>
      <xdr:rowOff>74542</xdr:rowOff>
    </xdr:to>
    <xdr:sp macro="" textlink="">
      <xdr:nvSpPr>
        <xdr:cNvPr id="322" name="Retângulo 321">
          <a:extLst>
            <a:ext uri="{FF2B5EF4-FFF2-40B4-BE49-F238E27FC236}">
              <a16:creationId xmlns:a16="http://schemas.microsoft.com/office/drawing/2014/main" id="{87049505-F14C-4EB1-A3B2-27B37537F0CE}"/>
            </a:ext>
          </a:extLst>
        </xdr:cNvPr>
        <xdr:cNvSpPr/>
      </xdr:nvSpPr>
      <xdr:spPr>
        <a:xfrm>
          <a:off x="861392" y="5019261"/>
          <a:ext cx="9563101" cy="5176629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430695</xdr:colOff>
      <xdr:row>0</xdr:row>
      <xdr:rowOff>99391</xdr:rowOff>
    </xdr:from>
    <xdr:to>
      <xdr:col>30</xdr:col>
      <xdr:colOff>239913</xdr:colOff>
      <xdr:row>26</xdr:row>
      <xdr:rowOff>74543</xdr:rowOff>
    </xdr:to>
    <xdr:sp macro="" textlink="">
      <xdr:nvSpPr>
        <xdr:cNvPr id="302" name="Retângulo 301">
          <a:extLst>
            <a:ext uri="{FF2B5EF4-FFF2-40B4-BE49-F238E27FC236}">
              <a16:creationId xmlns:a16="http://schemas.microsoft.com/office/drawing/2014/main" id="{330F17DB-1F78-4081-9493-DD2EBD5DEC6C}"/>
            </a:ext>
          </a:extLst>
        </xdr:cNvPr>
        <xdr:cNvSpPr/>
      </xdr:nvSpPr>
      <xdr:spPr>
        <a:xfrm>
          <a:off x="9011478" y="99391"/>
          <a:ext cx="9615826" cy="471280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56362</xdr:colOff>
      <xdr:row>2</xdr:row>
      <xdr:rowOff>94340</xdr:rowOff>
    </xdr:from>
    <xdr:to>
      <xdr:col>13</xdr:col>
      <xdr:colOff>514764</xdr:colOff>
      <xdr:row>21</xdr:row>
      <xdr:rowOff>15652</xdr:rowOff>
    </xdr:to>
    <xdr:grpSp>
      <xdr:nvGrpSpPr>
        <xdr:cNvPr id="113" name="Agrupar 112">
          <a:extLst>
            <a:ext uri="{FF2B5EF4-FFF2-40B4-BE49-F238E27FC236}">
              <a16:creationId xmlns:a16="http://schemas.microsoft.com/office/drawing/2014/main" id="{581A3B14-1EF8-3371-AF4C-55F7A114CA1D}"/>
            </a:ext>
          </a:extLst>
        </xdr:cNvPr>
        <xdr:cNvGrpSpPr/>
      </xdr:nvGrpSpPr>
      <xdr:grpSpPr>
        <a:xfrm>
          <a:off x="661480" y="475340"/>
          <a:ext cx="7719813" cy="3540812"/>
          <a:chOff x="3437121" y="1624275"/>
          <a:chExt cx="7941106" cy="3561521"/>
        </a:xfrm>
      </xdr:grpSpPr>
      <xdr:sp macro="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D1077AD9-A921-7D6E-53AC-47DFC3C45C26}"/>
              </a:ext>
            </a:extLst>
          </xdr:cNvPr>
          <xdr:cNvSpPr/>
        </xdr:nvSpPr>
        <xdr:spPr>
          <a:xfrm>
            <a:off x="3437121" y="1624275"/>
            <a:ext cx="7941106" cy="3561521"/>
          </a:xfrm>
          <a:prstGeom prst="roundRect">
            <a:avLst>
              <a:gd name="adj" fmla="val 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E6793B70-FB96-4240-B7E5-CF676A590B57}"/>
              </a:ext>
            </a:extLst>
          </xdr:cNvPr>
          <xdr:cNvSpPr/>
        </xdr:nvSpPr>
        <xdr:spPr>
          <a:xfrm>
            <a:off x="4346335" y="1823883"/>
            <a:ext cx="987769" cy="279886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C42D5F07-51CA-49B4-AC77-BFC36D5A79DF}"/>
              </a:ext>
            </a:extLst>
          </xdr:cNvPr>
          <xdr:cNvSpPr/>
        </xdr:nvSpPr>
        <xdr:spPr>
          <a:xfrm>
            <a:off x="4552008" y="2294247"/>
            <a:ext cx="2722558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7AC8D56C-867E-4401-8C84-9AB5C1B89AB7}"/>
              </a:ext>
            </a:extLst>
          </xdr:cNvPr>
          <xdr:cNvSpPr/>
        </xdr:nvSpPr>
        <xdr:spPr>
          <a:xfrm>
            <a:off x="4552008" y="2764611"/>
            <a:ext cx="2722558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47F27811-E117-4070-88D2-DB02DAA817AE}"/>
              </a:ext>
            </a:extLst>
          </xdr:cNvPr>
          <xdr:cNvSpPr/>
        </xdr:nvSpPr>
        <xdr:spPr>
          <a:xfrm>
            <a:off x="4552008" y="3704623"/>
            <a:ext cx="1639862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45499EB1-B97F-40DC-8DC0-597ACD853D0D}"/>
              </a:ext>
            </a:extLst>
          </xdr:cNvPr>
          <xdr:cNvSpPr/>
        </xdr:nvSpPr>
        <xdr:spPr>
          <a:xfrm>
            <a:off x="8752777" y="2263985"/>
            <a:ext cx="1145977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56116A1A-1AF4-46E5-B2EA-45DBFCF6BCCD}"/>
              </a:ext>
            </a:extLst>
          </xdr:cNvPr>
          <xdr:cNvSpPr/>
        </xdr:nvSpPr>
        <xdr:spPr>
          <a:xfrm>
            <a:off x="4552008" y="3200263"/>
            <a:ext cx="2722558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51371B98-1901-4911-9DCA-18B0EEDAD557}"/>
              </a:ext>
            </a:extLst>
          </xdr:cNvPr>
          <xdr:cNvSpPr/>
        </xdr:nvSpPr>
        <xdr:spPr>
          <a:xfrm>
            <a:off x="8369640" y="2740402"/>
            <a:ext cx="2888674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C946F0FC-660D-4FF8-818A-BDF17414BB4D}"/>
              </a:ext>
            </a:extLst>
          </xdr:cNvPr>
          <xdr:cNvSpPr/>
        </xdr:nvSpPr>
        <xdr:spPr>
          <a:xfrm>
            <a:off x="8124417" y="3219691"/>
            <a:ext cx="675824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B8E4E293-18CE-41FC-82D9-711FE01793EC}"/>
              </a:ext>
            </a:extLst>
          </xdr:cNvPr>
          <xdr:cNvSpPr/>
        </xdr:nvSpPr>
        <xdr:spPr>
          <a:xfrm>
            <a:off x="9681736" y="3216102"/>
            <a:ext cx="1576579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9EA6BDC3-19D8-414E-B1A9-020DD1A33A9C}"/>
              </a:ext>
            </a:extLst>
          </xdr:cNvPr>
          <xdr:cNvSpPr/>
        </xdr:nvSpPr>
        <xdr:spPr>
          <a:xfrm>
            <a:off x="8562185" y="3691801"/>
            <a:ext cx="2679564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A6B4254D-ACCF-420E-9ABC-84A85A8D3B7C}"/>
              </a:ext>
            </a:extLst>
          </xdr:cNvPr>
          <xdr:cNvSpPr/>
        </xdr:nvSpPr>
        <xdr:spPr>
          <a:xfrm>
            <a:off x="7461340" y="4175397"/>
            <a:ext cx="663075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2CCB0D67-2614-4B24-8425-3D9DAB9FB61B}"/>
              </a:ext>
            </a:extLst>
          </xdr:cNvPr>
          <xdr:cNvSpPr/>
        </xdr:nvSpPr>
        <xdr:spPr>
          <a:xfrm>
            <a:off x="4559916" y="4174987"/>
            <a:ext cx="1647772" cy="279169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3C0D3CAC-D301-4335-87A7-E9D6A557E5A4}"/>
              </a:ext>
            </a:extLst>
          </xdr:cNvPr>
          <xdr:cNvSpPr/>
        </xdr:nvSpPr>
        <xdr:spPr>
          <a:xfrm>
            <a:off x="4552008" y="4644633"/>
            <a:ext cx="1531861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Retângulo: Cantos Arredondados 31">
            <a:extLst>
              <a:ext uri="{FF2B5EF4-FFF2-40B4-BE49-F238E27FC236}">
                <a16:creationId xmlns:a16="http://schemas.microsoft.com/office/drawing/2014/main" id="{F7423CCF-206B-9B51-E0DE-A892457AD494}"/>
              </a:ext>
            </a:extLst>
          </xdr:cNvPr>
          <xdr:cNvSpPr/>
        </xdr:nvSpPr>
        <xdr:spPr>
          <a:xfrm>
            <a:off x="3567678" y="2255732"/>
            <a:ext cx="865674" cy="280017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8049711E-57DE-4BA8-905E-773D510B171C}"/>
              </a:ext>
            </a:extLst>
          </xdr:cNvPr>
          <xdr:cNvSpPr/>
        </xdr:nvSpPr>
        <xdr:spPr>
          <a:xfrm>
            <a:off x="3513624" y="2270620"/>
            <a:ext cx="895004" cy="255990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Produtor</a:t>
            </a:r>
          </a:p>
        </xdr:txBody>
      </xdr:sp>
      <xdr:sp macro="" textlink="">
        <xdr:nvSpPr>
          <xdr:cNvPr id="41" name="Retângulo: Cantos Arredondados 40">
            <a:extLst>
              <a:ext uri="{FF2B5EF4-FFF2-40B4-BE49-F238E27FC236}">
                <a16:creationId xmlns:a16="http://schemas.microsoft.com/office/drawing/2014/main" id="{7716FAE9-47CB-6F1A-2095-C5E3FCCC50E7}"/>
              </a:ext>
            </a:extLst>
          </xdr:cNvPr>
          <xdr:cNvSpPr/>
        </xdr:nvSpPr>
        <xdr:spPr>
          <a:xfrm>
            <a:off x="3595362" y="1787461"/>
            <a:ext cx="644182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2" name="Retângulo: Cantos Arredondados 41">
            <a:extLst>
              <a:ext uri="{FF2B5EF4-FFF2-40B4-BE49-F238E27FC236}">
                <a16:creationId xmlns:a16="http://schemas.microsoft.com/office/drawing/2014/main" id="{80EAE600-85E6-47C6-9F90-7740B95DB35D}"/>
              </a:ext>
            </a:extLst>
          </xdr:cNvPr>
          <xdr:cNvSpPr/>
        </xdr:nvSpPr>
        <xdr:spPr>
          <a:xfrm>
            <a:off x="3539990" y="2691709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3AC8BD75-5318-4589-986B-AD19DC7162EA}"/>
              </a:ext>
            </a:extLst>
          </xdr:cNvPr>
          <xdr:cNvSpPr/>
        </xdr:nvSpPr>
        <xdr:spPr>
          <a:xfrm>
            <a:off x="3559766" y="3168951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Retângulo: Cantos Arredondados 43">
            <a:extLst>
              <a:ext uri="{FF2B5EF4-FFF2-40B4-BE49-F238E27FC236}">
                <a16:creationId xmlns:a16="http://schemas.microsoft.com/office/drawing/2014/main" id="{C1C2DF68-3AF5-44D6-B13D-1A6F6871DFF0}"/>
              </a:ext>
            </a:extLst>
          </xdr:cNvPr>
          <xdr:cNvSpPr/>
        </xdr:nvSpPr>
        <xdr:spPr>
          <a:xfrm>
            <a:off x="3543947" y="3637222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5" name="Retângulo: Cantos Arredondados 44">
            <a:extLst>
              <a:ext uri="{FF2B5EF4-FFF2-40B4-BE49-F238E27FC236}">
                <a16:creationId xmlns:a16="http://schemas.microsoft.com/office/drawing/2014/main" id="{BE15EFC4-440E-48B0-A282-8BC6AF422913}"/>
              </a:ext>
            </a:extLst>
          </xdr:cNvPr>
          <xdr:cNvSpPr/>
        </xdr:nvSpPr>
        <xdr:spPr>
          <a:xfrm>
            <a:off x="3567678" y="4611619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FE3125D-D499-490B-8BA7-079FEC775D1D}"/>
              </a:ext>
            </a:extLst>
          </xdr:cNvPr>
          <xdr:cNvSpPr/>
        </xdr:nvSpPr>
        <xdr:spPr>
          <a:xfrm>
            <a:off x="3575586" y="4135096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DA10A254-ABE9-492F-85F2-CA655394C645}"/>
              </a:ext>
            </a:extLst>
          </xdr:cNvPr>
          <xdr:cNvSpPr/>
        </xdr:nvSpPr>
        <xdr:spPr>
          <a:xfrm>
            <a:off x="3539990" y="2713457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Email</a:t>
            </a:r>
          </a:p>
        </xdr:txBody>
      </xdr:sp>
      <xdr:sp macro="" textlink="">
        <xdr:nvSpPr>
          <xdr:cNvPr id="48" name="Retângulo: Cantos Arredondados 47">
            <a:extLst>
              <a:ext uri="{FF2B5EF4-FFF2-40B4-BE49-F238E27FC236}">
                <a16:creationId xmlns:a16="http://schemas.microsoft.com/office/drawing/2014/main" id="{F068E3BC-03AE-41FE-8A11-A20CAEADA6B8}"/>
              </a:ext>
            </a:extLst>
          </xdr:cNvPr>
          <xdr:cNvSpPr/>
        </xdr:nvSpPr>
        <xdr:spPr>
          <a:xfrm>
            <a:off x="3539990" y="3193254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Fazenda</a:t>
            </a:r>
          </a:p>
        </xdr:txBody>
      </xdr:sp>
      <xdr:sp macro="" textlink="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3BD5F7ED-C597-4108-96AD-544AA8DABD58}"/>
              </a:ext>
            </a:extLst>
          </xdr:cNvPr>
          <xdr:cNvSpPr/>
        </xdr:nvSpPr>
        <xdr:spPr>
          <a:xfrm>
            <a:off x="3539990" y="3671616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CPF</a:t>
            </a:r>
          </a:p>
        </xdr:txBody>
      </xdr:sp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B2B51A3E-3433-48B6-8F7C-4862623D2A86}"/>
              </a:ext>
            </a:extLst>
          </xdr:cNvPr>
          <xdr:cNvSpPr/>
        </xdr:nvSpPr>
        <xdr:spPr>
          <a:xfrm>
            <a:off x="3539990" y="4151413"/>
            <a:ext cx="905226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CNPJ</a:t>
            </a:r>
          </a:p>
        </xdr:txBody>
      </xdr:sp>
      <xdr:sp macro="" textlink="">
        <xdr:nvSpPr>
          <xdr:cNvPr id="51" name="Retângulo: Cantos Arredondados 50">
            <a:extLst>
              <a:ext uri="{FF2B5EF4-FFF2-40B4-BE49-F238E27FC236}">
                <a16:creationId xmlns:a16="http://schemas.microsoft.com/office/drawing/2014/main" id="{E2FF83E3-5C15-45CA-830F-77F6F874C157}"/>
              </a:ext>
            </a:extLst>
          </xdr:cNvPr>
          <xdr:cNvSpPr/>
        </xdr:nvSpPr>
        <xdr:spPr>
          <a:xfrm>
            <a:off x="3539990" y="4630491"/>
            <a:ext cx="905226" cy="31289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Telefone</a:t>
            </a:r>
          </a:p>
        </xdr:txBody>
      </xdr:sp>
      <xdr:sp macro="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1A518E8A-6E6E-4E00-BF54-C61E19BAD4A7}"/>
              </a:ext>
            </a:extLst>
          </xdr:cNvPr>
          <xdr:cNvSpPr/>
        </xdr:nvSpPr>
        <xdr:spPr>
          <a:xfrm>
            <a:off x="3539990" y="1787462"/>
            <a:ext cx="644182" cy="31218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ID</a:t>
            </a:r>
          </a:p>
        </xdr:txBody>
      </xdr:sp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4AF7FCDE-05DB-847C-88BB-5C5E1356A1AC}"/>
              </a:ext>
            </a:extLst>
          </xdr:cNvPr>
          <xdr:cNvSpPr/>
        </xdr:nvSpPr>
        <xdr:spPr>
          <a:xfrm>
            <a:off x="7515832" y="2230975"/>
            <a:ext cx="646238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5E49936A-25D2-4CF4-997E-345327129F1C}"/>
              </a:ext>
            </a:extLst>
          </xdr:cNvPr>
          <xdr:cNvSpPr/>
        </xdr:nvSpPr>
        <xdr:spPr>
          <a:xfrm>
            <a:off x="7500011" y="2704089"/>
            <a:ext cx="762838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31631FEC-B9CE-4B44-BF3C-B893B924D0EA}"/>
              </a:ext>
            </a:extLst>
          </xdr:cNvPr>
          <xdr:cNvSpPr/>
        </xdr:nvSpPr>
        <xdr:spPr>
          <a:xfrm>
            <a:off x="7571203" y="3160700"/>
            <a:ext cx="470153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7" name="Retângulo: Cantos Arredondados 56">
            <a:extLst>
              <a:ext uri="{FF2B5EF4-FFF2-40B4-BE49-F238E27FC236}">
                <a16:creationId xmlns:a16="http://schemas.microsoft.com/office/drawing/2014/main" id="{EA177DE4-940F-49DC-B4A1-663CB4BBB16D}"/>
              </a:ext>
            </a:extLst>
          </xdr:cNvPr>
          <xdr:cNvSpPr/>
        </xdr:nvSpPr>
        <xdr:spPr>
          <a:xfrm>
            <a:off x="7515832" y="2235347"/>
            <a:ext cx="646238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CEP</a:t>
            </a:r>
          </a:p>
        </xdr:txBody>
      </xdr:sp>
      <xdr:sp macro="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B7EC2E87-0A23-4FF4-ABEB-A2EACB4E4477}"/>
              </a:ext>
            </a:extLst>
          </xdr:cNvPr>
          <xdr:cNvSpPr/>
        </xdr:nvSpPr>
        <xdr:spPr>
          <a:xfrm>
            <a:off x="7500011" y="2715146"/>
            <a:ext cx="762838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Rua</a:t>
            </a:r>
          </a:p>
        </xdr:txBody>
      </xdr:sp>
      <xdr:sp macro="" textlink="">
        <xdr:nvSpPr>
          <xdr:cNvPr id="59" name="Retângulo: Cantos Arredondados 58">
            <a:extLst>
              <a:ext uri="{FF2B5EF4-FFF2-40B4-BE49-F238E27FC236}">
                <a16:creationId xmlns:a16="http://schemas.microsoft.com/office/drawing/2014/main" id="{D073A005-6E71-4BBB-B45B-FE9AB1676D99}"/>
              </a:ext>
            </a:extLst>
          </xdr:cNvPr>
          <xdr:cNvSpPr/>
        </xdr:nvSpPr>
        <xdr:spPr>
          <a:xfrm>
            <a:off x="7571203" y="3194224"/>
            <a:ext cx="470153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</a:p>
        </xdr:txBody>
      </xdr:sp>
      <xdr:sp macro="" textlink="">
        <xdr:nvSpPr>
          <xdr:cNvPr id="62" name="Retângulo: Cantos Arredondados 61">
            <a:extLst>
              <a:ext uri="{FF2B5EF4-FFF2-40B4-BE49-F238E27FC236}">
                <a16:creationId xmlns:a16="http://schemas.microsoft.com/office/drawing/2014/main" id="{8C042043-C917-4963-A398-557B74A14F00}"/>
              </a:ext>
            </a:extLst>
          </xdr:cNvPr>
          <xdr:cNvSpPr/>
        </xdr:nvSpPr>
        <xdr:spPr>
          <a:xfrm>
            <a:off x="7519787" y="3678490"/>
            <a:ext cx="913136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D6FAC70B-4649-485F-8CD0-BBF301749B75}"/>
              </a:ext>
            </a:extLst>
          </xdr:cNvPr>
          <xdr:cNvSpPr/>
        </xdr:nvSpPr>
        <xdr:spPr>
          <a:xfrm>
            <a:off x="8918898" y="3164825"/>
            <a:ext cx="719463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67" name="Gráfico 66" descr="Lupa">
            <a:extLst>
              <a:ext uri="{FF2B5EF4-FFF2-40B4-BE49-F238E27FC236}">
                <a16:creationId xmlns:a16="http://schemas.microsoft.com/office/drawing/2014/main" id="{05247AD1-370B-2ED0-C91E-19965DDD74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266805" y="2194552"/>
            <a:ext cx="359408" cy="369952"/>
          </a:xfrm>
          <a:prstGeom prst="rect">
            <a:avLst/>
          </a:prstGeom>
          <a:effectLst>
            <a:outerShdw blurRad="50800" dist="50800" dir="5400000" algn="ctr" rotWithShape="0">
              <a:schemeClr val="accent6">
                <a:lumMod val="75000"/>
              </a:schemeClr>
            </a:outerShdw>
          </a:effectLst>
        </xdr:spPr>
      </xdr:pic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589A470B-8F5B-4B83-9D60-7C68606EA715}"/>
              </a:ext>
            </a:extLst>
          </xdr:cNvPr>
          <xdr:cNvSpPr/>
        </xdr:nvSpPr>
        <xdr:spPr>
          <a:xfrm>
            <a:off x="8867533" y="3182953"/>
            <a:ext cx="761540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Região</a:t>
            </a:r>
          </a:p>
        </xdr:txBody>
      </xdr:sp>
      <xdr:sp macro="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E86D3EA9-DD7C-4E5C-9A18-B240EE734514}"/>
              </a:ext>
            </a:extLst>
          </xdr:cNvPr>
          <xdr:cNvSpPr/>
        </xdr:nvSpPr>
        <xdr:spPr>
          <a:xfrm>
            <a:off x="7456504" y="4652889"/>
            <a:ext cx="1122246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0" name="Retângulo: Cantos Arredondados 69">
            <a:extLst>
              <a:ext uri="{FF2B5EF4-FFF2-40B4-BE49-F238E27FC236}">
                <a16:creationId xmlns:a16="http://schemas.microsoft.com/office/drawing/2014/main" id="{EF89473C-2F1E-464C-B1BF-0487B1E4756E}"/>
              </a:ext>
            </a:extLst>
          </xdr:cNvPr>
          <xdr:cNvSpPr/>
        </xdr:nvSpPr>
        <xdr:spPr>
          <a:xfrm>
            <a:off x="7519786" y="3674024"/>
            <a:ext cx="913136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Cidade</a:t>
            </a:r>
          </a:p>
        </xdr:txBody>
      </xdr:sp>
      <xdr:sp macro="" textlink="">
        <xdr:nvSpPr>
          <xdr:cNvPr id="71" name="Retângulo: Cantos Arredondados 70">
            <a:extLst>
              <a:ext uri="{FF2B5EF4-FFF2-40B4-BE49-F238E27FC236}">
                <a16:creationId xmlns:a16="http://schemas.microsoft.com/office/drawing/2014/main" id="{7BDB7D2F-C500-4645-A65F-DC4731A2D14F}"/>
              </a:ext>
            </a:extLst>
          </xdr:cNvPr>
          <xdr:cNvSpPr/>
        </xdr:nvSpPr>
        <xdr:spPr>
          <a:xfrm>
            <a:off x="8280563" y="4159858"/>
            <a:ext cx="725385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A39E216A-28C6-44D0-BA99-FCFDB3CB0F7F}"/>
              </a:ext>
            </a:extLst>
          </xdr:cNvPr>
          <xdr:cNvSpPr/>
        </xdr:nvSpPr>
        <xdr:spPr>
          <a:xfrm>
            <a:off x="8305344" y="4192916"/>
            <a:ext cx="702139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Bairro</a:t>
            </a:r>
          </a:p>
        </xdr:txBody>
      </xdr:sp>
      <xdr:sp macro="" textlink="">
        <xdr:nvSpPr>
          <xdr:cNvPr id="74" name="Retângulo: Cantos Arredondados 73">
            <a:extLst>
              <a:ext uri="{FF2B5EF4-FFF2-40B4-BE49-F238E27FC236}">
                <a16:creationId xmlns:a16="http://schemas.microsoft.com/office/drawing/2014/main" id="{F56C00F0-B072-6406-B6F8-F954FCCCF5E1}"/>
              </a:ext>
            </a:extLst>
          </xdr:cNvPr>
          <xdr:cNvSpPr/>
        </xdr:nvSpPr>
        <xdr:spPr>
          <a:xfrm>
            <a:off x="6235562" y="4632152"/>
            <a:ext cx="1145978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0" name="Retângulo: Cantos Arredondados 79">
            <a:extLst>
              <a:ext uri="{FF2B5EF4-FFF2-40B4-BE49-F238E27FC236}">
                <a16:creationId xmlns:a16="http://schemas.microsoft.com/office/drawing/2014/main" id="{8CFDA678-16EC-4811-B440-6BF6752DA546}"/>
              </a:ext>
            </a:extLst>
          </xdr:cNvPr>
          <xdr:cNvSpPr/>
        </xdr:nvSpPr>
        <xdr:spPr>
          <a:xfrm>
            <a:off x="10108985" y="4644635"/>
            <a:ext cx="1122246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1" name="Retângulo: Cantos Arredondados 80">
            <a:extLst>
              <a:ext uri="{FF2B5EF4-FFF2-40B4-BE49-F238E27FC236}">
                <a16:creationId xmlns:a16="http://schemas.microsoft.com/office/drawing/2014/main" id="{CC3B8EB4-ECFA-4CBB-A8F1-6D6F8773AD4E}"/>
              </a:ext>
            </a:extLst>
          </xdr:cNvPr>
          <xdr:cNvSpPr/>
        </xdr:nvSpPr>
        <xdr:spPr>
          <a:xfrm>
            <a:off x="6235563" y="4632899"/>
            <a:ext cx="1143487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Abertura</a:t>
            </a:r>
          </a:p>
        </xdr:txBody>
      </xdr:sp>
      <xdr:sp macro="" textlink="">
        <xdr:nvSpPr>
          <xdr:cNvPr id="83" name="Retângulo: Cantos Arredondados 82">
            <a:extLst>
              <a:ext uri="{FF2B5EF4-FFF2-40B4-BE49-F238E27FC236}">
                <a16:creationId xmlns:a16="http://schemas.microsoft.com/office/drawing/2014/main" id="{B934BD52-003A-C2C0-047B-774AC1686465}"/>
              </a:ext>
            </a:extLst>
          </xdr:cNvPr>
          <xdr:cNvSpPr/>
        </xdr:nvSpPr>
        <xdr:spPr>
          <a:xfrm>
            <a:off x="8713224" y="4632179"/>
            <a:ext cx="1314899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4" name="Retângulo: Cantos Arredondados 83">
            <a:extLst>
              <a:ext uri="{FF2B5EF4-FFF2-40B4-BE49-F238E27FC236}">
                <a16:creationId xmlns:a16="http://schemas.microsoft.com/office/drawing/2014/main" id="{E4AD555C-936D-429A-8CBF-4C8AF790A2CD}"/>
              </a:ext>
            </a:extLst>
          </xdr:cNvPr>
          <xdr:cNvSpPr/>
        </xdr:nvSpPr>
        <xdr:spPr>
          <a:xfrm>
            <a:off x="8711936" y="4636256"/>
            <a:ext cx="1381403" cy="31121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Fechamento</a:t>
            </a:r>
          </a:p>
        </xdr:txBody>
      </xdr:sp>
      <xdr:pic>
        <xdr:nvPicPr>
          <xdr:cNvPr id="100" name="Gráfico 99" descr="Usuário">
            <a:extLst>
              <a:ext uri="{FF2B5EF4-FFF2-40B4-BE49-F238E27FC236}">
                <a16:creationId xmlns:a16="http://schemas.microsoft.com/office/drawing/2014/main" id="{1AC3AA23-1C47-13A1-FCF0-E34A2F5B6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627719" y="2305336"/>
            <a:ext cx="227191" cy="234411"/>
          </a:xfrm>
          <a:prstGeom prst="rect">
            <a:avLst/>
          </a:prstGeom>
        </xdr:spPr>
      </xdr:pic>
      <xdr:pic>
        <xdr:nvPicPr>
          <xdr:cNvPr id="102" name="Gráfico 101" descr="Email">
            <a:extLst>
              <a:ext uri="{FF2B5EF4-FFF2-40B4-BE49-F238E27FC236}">
                <a16:creationId xmlns:a16="http://schemas.microsoft.com/office/drawing/2014/main" id="{57E99A03-F87D-C6F9-C5DF-B349D98667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633693" y="2772759"/>
            <a:ext cx="224364" cy="228508"/>
          </a:xfrm>
          <a:prstGeom prst="rect">
            <a:avLst/>
          </a:prstGeom>
        </xdr:spPr>
      </xdr:pic>
      <xdr:pic>
        <xdr:nvPicPr>
          <xdr:cNvPr id="104" name="Gráfico 103" descr="Celeiro">
            <a:extLst>
              <a:ext uri="{FF2B5EF4-FFF2-40B4-BE49-F238E27FC236}">
                <a16:creationId xmlns:a16="http://schemas.microsoft.com/office/drawing/2014/main" id="{A1C403DB-5EEB-D4A1-4072-DAE1F2D0B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648307" y="3210395"/>
            <a:ext cx="224232" cy="233945"/>
          </a:xfrm>
          <a:prstGeom prst="rect">
            <a:avLst/>
          </a:prstGeom>
        </xdr:spPr>
      </xdr:pic>
      <xdr:pic>
        <xdr:nvPicPr>
          <xdr:cNvPr id="106" name="Gráfico 105" descr="Mundo">
            <a:extLst>
              <a:ext uri="{FF2B5EF4-FFF2-40B4-BE49-F238E27FC236}">
                <a16:creationId xmlns:a16="http://schemas.microsoft.com/office/drawing/2014/main" id="{E3594C42-2962-4EA0-B244-D361F5FACB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474528" y="2761859"/>
            <a:ext cx="227969" cy="237844"/>
          </a:xfrm>
          <a:prstGeom prst="rect">
            <a:avLst/>
          </a:prstGeom>
        </xdr:spPr>
      </xdr:pic>
      <xdr:sp macro="" textlink="">
        <xdr:nvSpPr>
          <xdr:cNvPr id="110" name="Retângulo: Cantos Arredondados 109">
            <a:extLst>
              <a:ext uri="{FF2B5EF4-FFF2-40B4-BE49-F238E27FC236}">
                <a16:creationId xmlns:a16="http://schemas.microsoft.com/office/drawing/2014/main" id="{A1F0CB17-1E22-437B-8A12-1519E28F24E5}"/>
              </a:ext>
            </a:extLst>
          </xdr:cNvPr>
          <xdr:cNvSpPr/>
        </xdr:nvSpPr>
        <xdr:spPr>
          <a:xfrm>
            <a:off x="6312802" y="4159856"/>
            <a:ext cx="1042155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762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Retângulo: Cantos Arredondados 110">
            <a:extLst>
              <a:ext uri="{FF2B5EF4-FFF2-40B4-BE49-F238E27FC236}">
                <a16:creationId xmlns:a16="http://schemas.microsoft.com/office/drawing/2014/main" id="{9443C671-349C-432C-B66E-83A8FC169901}"/>
              </a:ext>
            </a:extLst>
          </xdr:cNvPr>
          <xdr:cNvSpPr/>
        </xdr:nvSpPr>
        <xdr:spPr>
          <a:xfrm>
            <a:off x="6312802" y="4153103"/>
            <a:ext cx="1042155" cy="310491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Estado</a:t>
            </a:r>
          </a:p>
        </xdr:txBody>
      </xdr:sp>
      <xdr:sp macro="" textlink="">
        <xdr:nvSpPr>
          <xdr:cNvPr id="112" name="Retângulo: Cantos Arredondados 111">
            <a:extLst>
              <a:ext uri="{FF2B5EF4-FFF2-40B4-BE49-F238E27FC236}">
                <a16:creationId xmlns:a16="http://schemas.microsoft.com/office/drawing/2014/main" id="{788A1F7F-AB4F-4C07-8DB3-003E3F488359}"/>
              </a:ext>
            </a:extLst>
          </xdr:cNvPr>
          <xdr:cNvSpPr/>
        </xdr:nvSpPr>
        <xdr:spPr>
          <a:xfrm>
            <a:off x="9049904" y="4168219"/>
            <a:ext cx="2155573" cy="279887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15</xdr:col>
      <xdr:colOff>92710</xdr:colOff>
      <xdr:row>1</xdr:row>
      <xdr:rowOff>135587</xdr:rowOff>
    </xdr:from>
    <xdr:to>
      <xdr:col>30</xdr:col>
      <xdr:colOff>20590</xdr:colOff>
      <xdr:row>24</xdr:row>
      <xdr:rowOff>97818</xdr:rowOff>
    </xdr:to>
    <xdr:grpSp>
      <xdr:nvGrpSpPr>
        <xdr:cNvPr id="315" name="Agrupar 314">
          <a:extLst>
            <a:ext uri="{FF2B5EF4-FFF2-40B4-BE49-F238E27FC236}">
              <a16:creationId xmlns:a16="http://schemas.microsoft.com/office/drawing/2014/main" id="{1B5998C0-F2EF-AF7B-88B2-FE6174A951CC}"/>
            </a:ext>
          </a:extLst>
        </xdr:cNvPr>
        <xdr:cNvGrpSpPr/>
      </xdr:nvGrpSpPr>
      <xdr:grpSpPr>
        <a:xfrm>
          <a:off x="9169475" y="326087"/>
          <a:ext cx="9004644" cy="4343731"/>
          <a:chOff x="15564070" y="926704"/>
          <a:chExt cx="9125385" cy="4146506"/>
        </a:xfrm>
      </xdr:grpSpPr>
      <xdr:sp macro="" textlink="">
        <xdr:nvSpPr>
          <xdr:cNvPr id="115" name="Retângulo: Cantos Arredondados 114">
            <a:extLst>
              <a:ext uri="{FF2B5EF4-FFF2-40B4-BE49-F238E27FC236}">
                <a16:creationId xmlns:a16="http://schemas.microsoft.com/office/drawing/2014/main" id="{F592C6B0-DA97-E8E8-309A-B25CCB446AE4}"/>
              </a:ext>
            </a:extLst>
          </xdr:cNvPr>
          <xdr:cNvSpPr/>
        </xdr:nvSpPr>
        <xdr:spPr>
          <a:xfrm>
            <a:off x="15564070" y="926704"/>
            <a:ext cx="9125385" cy="4146506"/>
          </a:xfrm>
          <a:prstGeom prst="roundRect">
            <a:avLst>
              <a:gd name="adj" fmla="val 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6" name="Retângulo: Cantos Arredondados 115">
            <a:extLst>
              <a:ext uri="{FF2B5EF4-FFF2-40B4-BE49-F238E27FC236}">
                <a16:creationId xmlns:a16="http://schemas.microsoft.com/office/drawing/2014/main" id="{C3DCBE3C-C280-0E0C-617E-40EB3B632786}"/>
              </a:ext>
            </a:extLst>
          </xdr:cNvPr>
          <xdr:cNvSpPr/>
        </xdr:nvSpPr>
        <xdr:spPr>
          <a:xfrm>
            <a:off x="16634938" y="1145409"/>
            <a:ext cx="968552" cy="265143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7" name="Retângulo: Cantos Arredondados 116">
            <a:extLst>
              <a:ext uri="{FF2B5EF4-FFF2-40B4-BE49-F238E27FC236}">
                <a16:creationId xmlns:a16="http://schemas.microsoft.com/office/drawing/2014/main" id="{2D3E2FB1-A4E0-0CD0-F07A-511C2BFDF606}"/>
              </a:ext>
            </a:extLst>
          </xdr:cNvPr>
          <xdr:cNvSpPr/>
        </xdr:nvSpPr>
        <xdr:spPr>
          <a:xfrm>
            <a:off x="16836609" y="1597540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8" name="Retângulo: Cantos Arredondados 117">
            <a:extLst>
              <a:ext uri="{FF2B5EF4-FFF2-40B4-BE49-F238E27FC236}">
                <a16:creationId xmlns:a16="http://schemas.microsoft.com/office/drawing/2014/main" id="{948BFDA4-C65E-FBE0-211F-529A0E29279E}"/>
              </a:ext>
            </a:extLst>
          </xdr:cNvPr>
          <xdr:cNvSpPr/>
        </xdr:nvSpPr>
        <xdr:spPr>
          <a:xfrm>
            <a:off x="16836609" y="2049672"/>
            <a:ext cx="2520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9" name="Retângulo: Cantos Arredondados 118">
            <a:extLst>
              <a:ext uri="{FF2B5EF4-FFF2-40B4-BE49-F238E27FC236}">
                <a16:creationId xmlns:a16="http://schemas.microsoft.com/office/drawing/2014/main" id="{A4992C71-2570-B8FC-60F6-5616046C47A4}"/>
              </a:ext>
            </a:extLst>
          </xdr:cNvPr>
          <xdr:cNvSpPr/>
        </xdr:nvSpPr>
        <xdr:spPr>
          <a:xfrm>
            <a:off x="16836609" y="2953256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0" name="Retângulo: Cantos Arredondados 119">
            <a:extLst>
              <a:ext uri="{FF2B5EF4-FFF2-40B4-BE49-F238E27FC236}">
                <a16:creationId xmlns:a16="http://schemas.microsoft.com/office/drawing/2014/main" id="{7E2E1D92-2D73-A496-51CB-A07E9C8F011B}"/>
              </a:ext>
            </a:extLst>
          </xdr:cNvPr>
          <xdr:cNvSpPr/>
        </xdr:nvSpPr>
        <xdr:spPr>
          <a:xfrm>
            <a:off x="21022077" y="1115733"/>
            <a:ext cx="11232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1" name="Retângulo: Cantos Arredondados 120">
            <a:extLst>
              <a:ext uri="{FF2B5EF4-FFF2-40B4-BE49-F238E27FC236}">
                <a16:creationId xmlns:a16="http://schemas.microsoft.com/office/drawing/2014/main" id="{6F5D51A6-71F6-9A06-2EFC-EDBAB79B92C1}"/>
              </a:ext>
            </a:extLst>
          </xdr:cNvPr>
          <xdr:cNvSpPr/>
        </xdr:nvSpPr>
        <xdr:spPr>
          <a:xfrm>
            <a:off x="16836609" y="2501124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3" name="Retângulo: Cantos Arredondados 122">
            <a:extLst>
              <a:ext uri="{FF2B5EF4-FFF2-40B4-BE49-F238E27FC236}">
                <a16:creationId xmlns:a16="http://schemas.microsoft.com/office/drawing/2014/main" id="{16426512-6030-4820-6433-4D8897BCE63E}"/>
              </a:ext>
            </a:extLst>
          </xdr:cNvPr>
          <xdr:cNvSpPr/>
        </xdr:nvSpPr>
        <xdr:spPr>
          <a:xfrm>
            <a:off x="20705277" y="2487652"/>
            <a:ext cx="1440000" cy="26640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4" name="Retângulo: Cantos Arredondados 123">
            <a:extLst>
              <a:ext uri="{FF2B5EF4-FFF2-40B4-BE49-F238E27FC236}">
                <a16:creationId xmlns:a16="http://schemas.microsoft.com/office/drawing/2014/main" id="{9E76A6C3-1E19-0D1D-563F-A19EE1964CD8}"/>
              </a:ext>
            </a:extLst>
          </xdr:cNvPr>
          <xdr:cNvSpPr/>
        </xdr:nvSpPr>
        <xdr:spPr>
          <a:xfrm>
            <a:off x="20705277" y="2030799"/>
            <a:ext cx="1440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5" name="Retângulo: Cantos Arredondados 124">
            <a:extLst>
              <a:ext uri="{FF2B5EF4-FFF2-40B4-BE49-F238E27FC236}">
                <a16:creationId xmlns:a16="http://schemas.microsoft.com/office/drawing/2014/main" id="{476E9970-B463-F971-740A-00ECE363FBAF}"/>
              </a:ext>
            </a:extLst>
          </xdr:cNvPr>
          <xdr:cNvSpPr/>
        </xdr:nvSpPr>
        <xdr:spPr>
          <a:xfrm>
            <a:off x="20705277" y="2943710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6" name="Retângulo: Cantos Arredondados 125">
            <a:extLst>
              <a:ext uri="{FF2B5EF4-FFF2-40B4-BE49-F238E27FC236}">
                <a16:creationId xmlns:a16="http://schemas.microsoft.com/office/drawing/2014/main" id="{E6D9DCDA-28A3-4E33-6B4F-89F2D45BF569}"/>
              </a:ext>
            </a:extLst>
          </xdr:cNvPr>
          <xdr:cNvSpPr/>
        </xdr:nvSpPr>
        <xdr:spPr>
          <a:xfrm>
            <a:off x="23257817" y="205589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7" name="Retângulo: Cantos Arredondados 126">
            <a:extLst>
              <a:ext uri="{FF2B5EF4-FFF2-40B4-BE49-F238E27FC236}">
                <a16:creationId xmlns:a16="http://schemas.microsoft.com/office/drawing/2014/main" id="{8CCF8CAC-C0C4-FD87-06B0-589E2B18EA22}"/>
              </a:ext>
            </a:extLst>
          </xdr:cNvPr>
          <xdr:cNvSpPr/>
        </xdr:nvSpPr>
        <xdr:spPr>
          <a:xfrm>
            <a:off x="16836609" y="3405388"/>
            <a:ext cx="2520000" cy="266400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8" name="Retângulo: Cantos Arredondados 127">
            <a:extLst>
              <a:ext uri="{FF2B5EF4-FFF2-40B4-BE49-F238E27FC236}">
                <a16:creationId xmlns:a16="http://schemas.microsoft.com/office/drawing/2014/main" id="{8F7AFAAD-FA52-007F-FC55-83278C3641E3}"/>
              </a:ext>
            </a:extLst>
          </xdr:cNvPr>
          <xdr:cNvSpPr/>
        </xdr:nvSpPr>
        <xdr:spPr>
          <a:xfrm>
            <a:off x="16836609" y="3858776"/>
            <a:ext cx="252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3" name="Retângulo: Cantos Arredondados 142">
            <a:extLst>
              <a:ext uri="{FF2B5EF4-FFF2-40B4-BE49-F238E27FC236}">
                <a16:creationId xmlns:a16="http://schemas.microsoft.com/office/drawing/2014/main" id="{3AB279CE-13C0-582B-FB7E-DB628B16001B}"/>
              </a:ext>
            </a:extLst>
          </xdr:cNvPr>
          <xdr:cNvSpPr/>
        </xdr:nvSpPr>
        <xdr:spPr>
          <a:xfrm>
            <a:off x="20086120" y="1115733"/>
            <a:ext cx="82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6" name="Retângulo: Cantos Arredondados 145">
            <a:extLst>
              <a:ext uri="{FF2B5EF4-FFF2-40B4-BE49-F238E27FC236}">
                <a16:creationId xmlns:a16="http://schemas.microsoft.com/office/drawing/2014/main" id="{9DB4B58F-69B2-D1CE-5A48-2D64B684707B}"/>
              </a:ext>
            </a:extLst>
          </xdr:cNvPr>
          <xdr:cNvSpPr/>
        </xdr:nvSpPr>
        <xdr:spPr>
          <a:xfrm>
            <a:off x="20086997" y="1100189"/>
            <a:ext cx="82624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Espécie</a:t>
            </a:r>
          </a:p>
        </xdr:txBody>
      </xdr:sp>
      <xdr:sp macro="" textlink="">
        <xdr:nvSpPr>
          <xdr:cNvPr id="153" name="Retângulo: Cantos Arredondados 152">
            <a:extLst>
              <a:ext uri="{FF2B5EF4-FFF2-40B4-BE49-F238E27FC236}">
                <a16:creationId xmlns:a16="http://schemas.microsoft.com/office/drawing/2014/main" id="{79B97916-8BA5-7986-B4CD-8ACACFC639FC}"/>
              </a:ext>
            </a:extLst>
          </xdr:cNvPr>
          <xdr:cNvSpPr/>
        </xdr:nvSpPr>
        <xdr:spPr>
          <a:xfrm>
            <a:off x="20705277" y="3858776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74" name="Gráfico 173" descr="Usuário">
            <a:extLst>
              <a:ext uri="{FF2B5EF4-FFF2-40B4-BE49-F238E27FC236}">
                <a16:creationId xmlns:a16="http://schemas.microsoft.com/office/drawing/2014/main" id="{96165E51-E2B8-0502-A898-0697759F0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708265" y="1155358"/>
            <a:ext cx="222771" cy="222063"/>
          </a:xfrm>
          <a:prstGeom prst="rect">
            <a:avLst/>
          </a:prstGeom>
        </xdr:spPr>
      </xdr:pic>
      <xdr:sp macro="" textlink="">
        <xdr:nvSpPr>
          <xdr:cNvPr id="180" name="Retângulo: Cantos Arredondados 179">
            <a:extLst>
              <a:ext uri="{FF2B5EF4-FFF2-40B4-BE49-F238E27FC236}">
                <a16:creationId xmlns:a16="http://schemas.microsoft.com/office/drawing/2014/main" id="{A0381E14-0160-F9DC-B3D6-012FBC2404A2}"/>
              </a:ext>
            </a:extLst>
          </xdr:cNvPr>
          <xdr:cNvSpPr/>
        </xdr:nvSpPr>
        <xdr:spPr>
          <a:xfrm>
            <a:off x="20705277" y="3401243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91" name="Agrupar 190">
            <a:extLst>
              <a:ext uri="{FF2B5EF4-FFF2-40B4-BE49-F238E27FC236}">
                <a16:creationId xmlns:a16="http://schemas.microsoft.com/office/drawing/2014/main" id="{346A2DD2-194D-23A6-F158-1D42A8B01B17}"/>
              </a:ext>
            </a:extLst>
          </xdr:cNvPr>
          <xdr:cNvGrpSpPr/>
        </xdr:nvGrpSpPr>
        <xdr:grpSpPr>
          <a:xfrm>
            <a:off x="17736227" y="1100189"/>
            <a:ext cx="1044224" cy="294818"/>
            <a:chOff x="16647428" y="1500187"/>
            <a:chExt cx="1044224" cy="294818"/>
          </a:xfrm>
        </xdr:grpSpPr>
        <xdr:sp macro="" textlink="">
          <xdr:nvSpPr>
            <xdr:cNvPr id="182" name="Retângulo: Cantos Arredondados 181">
              <a:extLst>
                <a:ext uri="{FF2B5EF4-FFF2-40B4-BE49-F238E27FC236}">
                  <a16:creationId xmlns:a16="http://schemas.microsoft.com/office/drawing/2014/main" id="{BDB8728E-7500-459A-9711-6794E41C200C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3" name="Retângulo: Cantos Arredondados 182">
              <a:extLst>
                <a:ext uri="{FF2B5EF4-FFF2-40B4-BE49-F238E27FC236}">
                  <a16:creationId xmlns:a16="http://schemas.microsoft.com/office/drawing/2014/main" id="{0C3D7EB1-A60D-479E-94EA-4D45C27FA089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Nº Amostra</a:t>
              </a:r>
            </a:p>
          </xdr:txBody>
        </xdr:sp>
      </xdr:grpSp>
      <xdr:sp macro="" textlink="">
        <xdr:nvSpPr>
          <xdr:cNvPr id="185" name="Retângulo: Cantos Arredondados 184">
            <a:extLst>
              <a:ext uri="{FF2B5EF4-FFF2-40B4-BE49-F238E27FC236}">
                <a16:creationId xmlns:a16="http://schemas.microsoft.com/office/drawing/2014/main" id="{21B90BE7-56BC-4851-9996-7A473288C0BD}"/>
              </a:ext>
            </a:extLst>
          </xdr:cNvPr>
          <xdr:cNvSpPr/>
        </xdr:nvSpPr>
        <xdr:spPr>
          <a:xfrm>
            <a:off x="18864800" y="1115735"/>
            <a:ext cx="1123683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8" name="Retângulo: Cantos Arredondados 187">
            <a:extLst>
              <a:ext uri="{FF2B5EF4-FFF2-40B4-BE49-F238E27FC236}">
                <a16:creationId xmlns:a16="http://schemas.microsoft.com/office/drawing/2014/main" id="{44C14A7F-C51C-4189-8A35-0B3C8609AAC4}"/>
              </a:ext>
            </a:extLst>
          </xdr:cNvPr>
          <xdr:cNvSpPr/>
        </xdr:nvSpPr>
        <xdr:spPr>
          <a:xfrm>
            <a:off x="22286356" y="1099270"/>
            <a:ext cx="82624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9" name="Retângulo: Cantos Arredondados 188">
            <a:extLst>
              <a:ext uri="{FF2B5EF4-FFF2-40B4-BE49-F238E27FC236}">
                <a16:creationId xmlns:a16="http://schemas.microsoft.com/office/drawing/2014/main" id="{6ED85F8D-60FB-4047-911D-57C677EFF446}"/>
              </a:ext>
            </a:extLst>
          </xdr:cNvPr>
          <xdr:cNvSpPr/>
        </xdr:nvSpPr>
        <xdr:spPr>
          <a:xfrm>
            <a:off x="22285479" y="1100189"/>
            <a:ext cx="82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Lote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190" name="Retângulo: Cantos Arredondados 189">
            <a:extLst>
              <a:ext uri="{FF2B5EF4-FFF2-40B4-BE49-F238E27FC236}">
                <a16:creationId xmlns:a16="http://schemas.microsoft.com/office/drawing/2014/main" id="{CDAED867-FBF4-402F-B0E1-5ABF3304FB5B}"/>
              </a:ext>
            </a:extLst>
          </xdr:cNvPr>
          <xdr:cNvSpPr/>
        </xdr:nvSpPr>
        <xdr:spPr>
          <a:xfrm>
            <a:off x="23257818" y="1115735"/>
            <a:ext cx="1188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96" name="Agrupar 195">
            <a:extLst>
              <a:ext uri="{FF2B5EF4-FFF2-40B4-BE49-F238E27FC236}">
                <a16:creationId xmlns:a16="http://schemas.microsoft.com/office/drawing/2014/main" id="{CC26B14A-BA93-489B-A560-3A89974D764B}"/>
              </a:ext>
            </a:extLst>
          </xdr:cNvPr>
          <xdr:cNvGrpSpPr/>
        </xdr:nvGrpSpPr>
        <xdr:grpSpPr>
          <a:xfrm>
            <a:off x="19543374" y="2009913"/>
            <a:ext cx="1080000" cy="294818"/>
            <a:chOff x="16647428" y="1500187"/>
            <a:chExt cx="1044224" cy="294818"/>
          </a:xfrm>
        </xdr:grpSpPr>
        <xdr:sp macro="" textlink="">
          <xdr:nvSpPr>
            <xdr:cNvPr id="197" name="Retângulo: Cantos Arredondados 196">
              <a:extLst>
                <a:ext uri="{FF2B5EF4-FFF2-40B4-BE49-F238E27FC236}">
                  <a16:creationId xmlns:a16="http://schemas.microsoft.com/office/drawing/2014/main" id="{4E1AD0B0-D33E-A645-7E3C-5EC506044CB1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8" name="Retângulo: Cantos Arredondados 197">
              <a:extLst>
                <a:ext uri="{FF2B5EF4-FFF2-40B4-BE49-F238E27FC236}">
                  <a16:creationId xmlns:a16="http://schemas.microsoft.com/office/drawing/2014/main" id="{D6223AB5-CB07-E16E-4AC6-011D1D84FB7C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Sacas </a:t>
              </a:r>
            </a:p>
          </xdr:txBody>
        </xdr:sp>
      </xdr:grpSp>
      <xdr:grpSp>
        <xdr:nvGrpSpPr>
          <xdr:cNvPr id="199" name="Agrupar 198">
            <a:extLst>
              <a:ext uri="{FF2B5EF4-FFF2-40B4-BE49-F238E27FC236}">
                <a16:creationId xmlns:a16="http://schemas.microsoft.com/office/drawing/2014/main" id="{9305DB60-714A-440B-8ED2-3BAE9B9D3F35}"/>
              </a:ext>
            </a:extLst>
          </xdr:cNvPr>
          <xdr:cNvGrpSpPr/>
        </xdr:nvGrpSpPr>
        <xdr:grpSpPr>
          <a:xfrm>
            <a:off x="19543374" y="2464775"/>
            <a:ext cx="1080000" cy="294818"/>
            <a:chOff x="16647428" y="1500187"/>
            <a:chExt cx="1044224" cy="294818"/>
          </a:xfrm>
        </xdr:grpSpPr>
        <xdr:sp macro="" textlink="">
          <xdr:nvSpPr>
            <xdr:cNvPr id="200" name="Retângulo: Cantos Arredondados 199">
              <a:extLst>
                <a:ext uri="{FF2B5EF4-FFF2-40B4-BE49-F238E27FC236}">
                  <a16:creationId xmlns:a16="http://schemas.microsoft.com/office/drawing/2014/main" id="{EBF06431-7789-DC1D-2929-CEB6F852A921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1" name="Retângulo: Cantos Arredondados 200">
              <a:extLst>
                <a:ext uri="{FF2B5EF4-FFF2-40B4-BE49-F238E27FC236}">
                  <a16:creationId xmlns:a16="http://schemas.microsoft.com/office/drawing/2014/main" id="{53245F73-B967-3E45-128D-37F1D9456E79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Safra Ano</a:t>
              </a:r>
            </a:p>
          </xdr:txBody>
        </xdr:sp>
      </xdr:grpSp>
      <xdr:grpSp>
        <xdr:nvGrpSpPr>
          <xdr:cNvPr id="204" name="Agrupar 203">
            <a:extLst>
              <a:ext uri="{FF2B5EF4-FFF2-40B4-BE49-F238E27FC236}">
                <a16:creationId xmlns:a16="http://schemas.microsoft.com/office/drawing/2014/main" id="{AFBD6FFD-7103-42C6-9BE6-E9BFB956D244}"/>
              </a:ext>
            </a:extLst>
          </xdr:cNvPr>
          <xdr:cNvGrpSpPr/>
        </xdr:nvGrpSpPr>
        <xdr:grpSpPr>
          <a:xfrm>
            <a:off x="19543374" y="2919637"/>
            <a:ext cx="1080000" cy="294818"/>
            <a:chOff x="16647428" y="1500187"/>
            <a:chExt cx="1044224" cy="294818"/>
          </a:xfrm>
        </xdr:grpSpPr>
        <xdr:sp macro="" textlink="">
          <xdr:nvSpPr>
            <xdr:cNvPr id="205" name="Retângulo: Cantos Arredondados 204">
              <a:extLst>
                <a:ext uri="{FF2B5EF4-FFF2-40B4-BE49-F238E27FC236}">
                  <a16:creationId xmlns:a16="http://schemas.microsoft.com/office/drawing/2014/main" id="{A18A63AD-B3F9-EA45-0F0A-50726D489AEE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6" name="Retângulo: Cantos Arredondados 205">
              <a:extLst>
                <a:ext uri="{FF2B5EF4-FFF2-40B4-BE49-F238E27FC236}">
                  <a16:creationId xmlns:a16="http://schemas.microsoft.com/office/drawing/2014/main" id="{6B2A1D38-A61C-A545-922B-EB42194FC69B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Café Coco</a:t>
              </a:r>
            </a:p>
          </xdr:txBody>
        </xdr:sp>
      </xdr:grpSp>
      <xdr:grpSp>
        <xdr:nvGrpSpPr>
          <xdr:cNvPr id="207" name="Agrupar 206">
            <a:extLst>
              <a:ext uri="{FF2B5EF4-FFF2-40B4-BE49-F238E27FC236}">
                <a16:creationId xmlns:a16="http://schemas.microsoft.com/office/drawing/2014/main" id="{4D45FA33-4FD0-42E8-9428-CBB1CE7441B5}"/>
              </a:ext>
            </a:extLst>
          </xdr:cNvPr>
          <xdr:cNvGrpSpPr/>
        </xdr:nvGrpSpPr>
        <xdr:grpSpPr>
          <a:xfrm>
            <a:off x="19543376" y="3374499"/>
            <a:ext cx="1133067" cy="294818"/>
            <a:chOff x="16647428" y="1500187"/>
            <a:chExt cx="1095533" cy="294818"/>
          </a:xfrm>
        </xdr:grpSpPr>
        <xdr:sp macro="" textlink="">
          <xdr:nvSpPr>
            <xdr:cNvPr id="208" name="Retângulo: Cantos Arredondados 207">
              <a:extLst>
                <a:ext uri="{FF2B5EF4-FFF2-40B4-BE49-F238E27FC236}">
                  <a16:creationId xmlns:a16="http://schemas.microsoft.com/office/drawing/2014/main" id="{2FD68201-3C41-00A3-E64B-7CEBD10FFC15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9" name="Retângulo: Cantos Arredondados 208">
              <a:extLst>
                <a:ext uri="{FF2B5EF4-FFF2-40B4-BE49-F238E27FC236}">
                  <a16:creationId xmlns:a16="http://schemas.microsoft.com/office/drawing/2014/main" id="{A1563620-DD98-7DCC-ECB6-BD76A96AD416}"/>
                </a:ext>
              </a:extLst>
            </xdr:cNvPr>
            <xdr:cNvSpPr/>
          </xdr:nvSpPr>
          <xdr:spPr>
            <a:xfrm>
              <a:off x="16647428" y="1500187"/>
              <a:ext cx="1095533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Lote Corrido</a:t>
              </a:r>
            </a:p>
          </xdr:txBody>
        </xdr:sp>
      </xdr:grpSp>
      <xdr:grpSp>
        <xdr:nvGrpSpPr>
          <xdr:cNvPr id="210" name="Agrupar 209">
            <a:extLst>
              <a:ext uri="{FF2B5EF4-FFF2-40B4-BE49-F238E27FC236}">
                <a16:creationId xmlns:a16="http://schemas.microsoft.com/office/drawing/2014/main" id="{4896C490-BB8D-41B3-ADD8-E331EAB0F92A}"/>
              </a:ext>
            </a:extLst>
          </xdr:cNvPr>
          <xdr:cNvGrpSpPr/>
        </xdr:nvGrpSpPr>
        <xdr:grpSpPr>
          <a:xfrm>
            <a:off x="19543374" y="3829363"/>
            <a:ext cx="1116000" cy="294818"/>
            <a:chOff x="16647428" y="1500187"/>
            <a:chExt cx="1044224" cy="294818"/>
          </a:xfrm>
        </xdr:grpSpPr>
        <xdr:sp macro="" textlink="">
          <xdr:nvSpPr>
            <xdr:cNvPr id="211" name="Retângulo: Cantos Arredondados 210">
              <a:extLst>
                <a:ext uri="{FF2B5EF4-FFF2-40B4-BE49-F238E27FC236}">
                  <a16:creationId xmlns:a16="http://schemas.microsoft.com/office/drawing/2014/main" id="{1FE20271-3525-5D95-17E2-EF6B27A1C313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2" name="Retângulo: Cantos Arredondados 211">
              <a:extLst>
                <a:ext uri="{FF2B5EF4-FFF2-40B4-BE49-F238E27FC236}">
                  <a16:creationId xmlns:a16="http://schemas.microsoft.com/office/drawing/2014/main" id="{D620EC8A-D490-49DB-5143-EE48CAE08BB4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Bica Corrida</a:t>
              </a:r>
            </a:p>
          </xdr:txBody>
        </xdr:sp>
      </xdr:grpSp>
      <xdr:grpSp>
        <xdr:nvGrpSpPr>
          <xdr:cNvPr id="213" name="Agrupar 212">
            <a:extLst>
              <a:ext uri="{FF2B5EF4-FFF2-40B4-BE49-F238E27FC236}">
                <a16:creationId xmlns:a16="http://schemas.microsoft.com/office/drawing/2014/main" id="{7F822B15-6D8F-4037-A19D-5D8B4945772C}"/>
              </a:ext>
            </a:extLst>
          </xdr:cNvPr>
          <xdr:cNvGrpSpPr/>
        </xdr:nvGrpSpPr>
        <xdr:grpSpPr>
          <a:xfrm>
            <a:off x="22317104" y="2035271"/>
            <a:ext cx="860811" cy="294818"/>
            <a:chOff x="16647428" y="1500187"/>
            <a:chExt cx="1044224" cy="294818"/>
          </a:xfrm>
        </xdr:grpSpPr>
        <xdr:sp macro="" textlink="">
          <xdr:nvSpPr>
            <xdr:cNvPr id="214" name="Retângulo: Cantos Arredondados 213">
              <a:extLst>
                <a:ext uri="{FF2B5EF4-FFF2-40B4-BE49-F238E27FC236}">
                  <a16:creationId xmlns:a16="http://schemas.microsoft.com/office/drawing/2014/main" id="{B1A006AB-2983-D199-7064-56DB8248E919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5" name="Retângulo: Cantos Arredondados 214">
              <a:extLst>
                <a:ext uri="{FF2B5EF4-FFF2-40B4-BE49-F238E27FC236}">
                  <a16:creationId xmlns:a16="http://schemas.microsoft.com/office/drawing/2014/main" id="{272832D5-6F46-7B57-22F1-CA1D11E48A9E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PVA</a:t>
              </a:r>
            </a:p>
          </xdr:txBody>
        </xdr:sp>
      </xdr:grpSp>
      <xdr:grpSp>
        <xdr:nvGrpSpPr>
          <xdr:cNvPr id="222" name="Agrupar 221">
            <a:extLst>
              <a:ext uri="{FF2B5EF4-FFF2-40B4-BE49-F238E27FC236}">
                <a16:creationId xmlns:a16="http://schemas.microsoft.com/office/drawing/2014/main" id="{69DA0617-E85C-4906-9C0F-7E5CD9CE22EE}"/>
              </a:ext>
            </a:extLst>
          </xdr:cNvPr>
          <xdr:cNvGrpSpPr/>
        </xdr:nvGrpSpPr>
        <xdr:grpSpPr>
          <a:xfrm>
            <a:off x="22317111" y="2490133"/>
            <a:ext cx="927111" cy="294818"/>
            <a:chOff x="16647428" y="1500187"/>
            <a:chExt cx="1124650" cy="294818"/>
          </a:xfrm>
        </xdr:grpSpPr>
        <xdr:sp macro="" textlink="">
          <xdr:nvSpPr>
            <xdr:cNvPr id="223" name="Retângulo: Cantos Arredondados 222">
              <a:extLst>
                <a:ext uri="{FF2B5EF4-FFF2-40B4-BE49-F238E27FC236}">
                  <a16:creationId xmlns:a16="http://schemas.microsoft.com/office/drawing/2014/main" id="{686D3122-B679-75D0-E815-DCC7727B0F08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4" name="Retângulo: Cantos Arredondados 223">
              <a:extLst>
                <a:ext uri="{FF2B5EF4-FFF2-40B4-BE49-F238E27FC236}">
                  <a16:creationId xmlns:a16="http://schemas.microsoft.com/office/drawing/2014/main" id="{4034853D-9418-AF93-C767-73CDC564F3BB}"/>
                </a:ext>
              </a:extLst>
            </xdr:cNvPr>
            <xdr:cNvSpPr/>
          </xdr:nvSpPr>
          <xdr:spPr>
            <a:xfrm>
              <a:off x="16647428" y="1500187"/>
              <a:ext cx="112465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Umidade</a:t>
              </a:r>
            </a:p>
          </xdr:txBody>
        </xdr:sp>
      </xdr:grpSp>
      <xdr:grpSp>
        <xdr:nvGrpSpPr>
          <xdr:cNvPr id="225" name="Agrupar 224">
            <a:extLst>
              <a:ext uri="{FF2B5EF4-FFF2-40B4-BE49-F238E27FC236}">
                <a16:creationId xmlns:a16="http://schemas.microsoft.com/office/drawing/2014/main" id="{781E4392-5A9C-4416-AF51-D27255C2757E}"/>
              </a:ext>
            </a:extLst>
          </xdr:cNvPr>
          <xdr:cNvGrpSpPr/>
        </xdr:nvGrpSpPr>
        <xdr:grpSpPr>
          <a:xfrm>
            <a:off x="22317104" y="2944995"/>
            <a:ext cx="860811" cy="294818"/>
            <a:chOff x="16647428" y="1500187"/>
            <a:chExt cx="1044224" cy="294818"/>
          </a:xfrm>
        </xdr:grpSpPr>
        <xdr:sp macro="" textlink="">
          <xdr:nvSpPr>
            <xdr:cNvPr id="226" name="Retângulo: Cantos Arredondados 225">
              <a:extLst>
                <a:ext uri="{FF2B5EF4-FFF2-40B4-BE49-F238E27FC236}">
                  <a16:creationId xmlns:a16="http://schemas.microsoft.com/office/drawing/2014/main" id="{1A054F25-B450-3186-3063-B91A4B60338A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7" name="Retângulo: Cantos Arredondados 226">
              <a:extLst>
                <a:ext uri="{FF2B5EF4-FFF2-40B4-BE49-F238E27FC236}">
                  <a16:creationId xmlns:a16="http://schemas.microsoft.com/office/drawing/2014/main" id="{9F57F4CA-1E68-2B32-26A9-64BBA9F6F2DC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Renda</a:t>
              </a:r>
            </a:p>
          </xdr:txBody>
        </xdr:sp>
      </xdr:grpSp>
      <xdr:grpSp>
        <xdr:nvGrpSpPr>
          <xdr:cNvPr id="228" name="Agrupar 227">
            <a:extLst>
              <a:ext uri="{FF2B5EF4-FFF2-40B4-BE49-F238E27FC236}">
                <a16:creationId xmlns:a16="http://schemas.microsoft.com/office/drawing/2014/main" id="{26AFF930-0A1C-4D7F-B723-347F4E7E90B2}"/>
              </a:ext>
            </a:extLst>
          </xdr:cNvPr>
          <xdr:cNvGrpSpPr/>
        </xdr:nvGrpSpPr>
        <xdr:grpSpPr>
          <a:xfrm>
            <a:off x="22317104" y="3399857"/>
            <a:ext cx="860811" cy="294818"/>
            <a:chOff x="16647428" y="1500187"/>
            <a:chExt cx="1044224" cy="294818"/>
          </a:xfrm>
        </xdr:grpSpPr>
        <xdr:sp macro="" textlink="">
          <xdr:nvSpPr>
            <xdr:cNvPr id="229" name="Retângulo: Cantos Arredondados 228">
              <a:extLst>
                <a:ext uri="{FF2B5EF4-FFF2-40B4-BE49-F238E27FC236}">
                  <a16:creationId xmlns:a16="http://schemas.microsoft.com/office/drawing/2014/main" id="{051885D2-33E2-6FEA-F12C-94ADEFCA4C36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0" name="Retângulo: Cantos Arredondados 229">
              <a:extLst>
                <a:ext uri="{FF2B5EF4-FFF2-40B4-BE49-F238E27FC236}">
                  <a16:creationId xmlns:a16="http://schemas.microsoft.com/office/drawing/2014/main" id="{6DFFD8F0-A60A-168C-0E0F-D38B62CD2611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Cata</a:t>
              </a:r>
            </a:p>
          </xdr:txBody>
        </xdr:sp>
      </xdr:grpSp>
      <xdr:sp macro="" textlink="">
        <xdr:nvSpPr>
          <xdr:cNvPr id="231" name="Retângulo: Cantos Arredondados 230">
            <a:extLst>
              <a:ext uri="{FF2B5EF4-FFF2-40B4-BE49-F238E27FC236}">
                <a16:creationId xmlns:a16="http://schemas.microsoft.com/office/drawing/2014/main" id="{878894CF-27D4-4FE8-B3FD-CAA6470923B5}"/>
              </a:ext>
            </a:extLst>
          </xdr:cNvPr>
          <xdr:cNvSpPr/>
        </xdr:nvSpPr>
        <xdr:spPr>
          <a:xfrm>
            <a:off x="23257817" y="251295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" name="Retângulo: Cantos Arredondados 231">
            <a:extLst>
              <a:ext uri="{FF2B5EF4-FFF2-40B4-BE49-F238E27FC236}">
                <a16:creationId xmlns:a16="http://schemas.microsoft.com/office/drawing/2014/main" id="{93723A72-4775-4A68-8ED0-BC160C1CBBB4}"/>
              </a:ext>
            </a:extLst>
          </xdr:cNvPr>
          <xdr:cNvSpPr/>
        </xdr:nvSpPr>
        <xdr:spPr>
          <a:xfrm>
            <a:off x="23257817" y="297001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3" name="Retângulo: Cantos Arredondados 232">
            <a:extLst>
              <a:ext uri="{FF2B5EF4-FFF2-40B4-BE49-F238E27FC236}">
                <a16:creationId xmlns:a16="http://schemas.microsoft.com/office/drawing/2014/main" id="{CAAAE91D-18AF-4091-828D-193BF8143AD2}"/>
              </a:ext>
            </a:extLst>
          </xdr:cNvPr>
          <xdr:cNvSpPr/>
        </xdr:nvSpPr>
        <xdr:spPr>
          <a:xfrm>
            <a:off x="23257817" y="342707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4" name="Retângulo: Cantos Arredondados 233">
            <a:extLst>
              <a:ext uri="{FF2B5EF4-FFF2-40B4-BE49-F238E27FC236}">
                <a16:creationId xmlns:a16="http://schemas.microsoft.com/office/drawing/2014/main" id="{2D277FAC-72F0-49FE-B301-4B10CC44421F}"/>
              </a:ext>
            </a:extLst>
          </xdr:cNvPr>
          <xdr:cNvSpPr/>
        </xdr:nvSpPr>
        <xdr:spPr>
          <a:xfrm>
            <a:off x="19472648" y="4310905"/>
            <a:ext cx="5032718" cy="569345"/>
          </a:xfrm>
          <a:prstGeom prst="roundRect">
            <a:avLst>
              <a:gd name="adj" fmla="val 31796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8" name="Retângulo: Cantos Arredondados 237">
            <a:extLst>
              <a:ext uri="{FF2B5EF4-FFF2-40B4-BE49-F238E27FC236}">
                <a16:creationId xmlns:a16="http://schemas.microsoft.com/office/drawing/2014/main" id="{0F632082-C9E4-9820-C1C8-707A9E8947D0}"/>
              </a:ext>
            </a:extLst>
          </xdr:cNvPr>
          <xdr:cNvSpPr/>
        </xdr:nvSpPr>
        <xdr:spPr>
          <a:xfrm>
            <a:off x="16836609" y="4310905"/>
            <a:ext cx="2520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9" name="Retângulo: Cantos Arredondados 238">
            <a:extLst>
              <a:ext uri="{FF2B5EF4-FFF2-40B4-BE49-F238E27FC236}">
                <a16:creationId xmlns:a16="http://schemas.microsoft.com/office/drawing/2014/main" id="{84E7708C-3BA4-442D-B6FD-CFE274C1ADF9}"/>
              </a:ext>
            </a:extLst>
          </xdr:cNvPr>
          <xdr:cNvSpPr/>
        </xdr:nvSpPr>
        <xdr:spPr>
          <a:xfrm>
            <a:off x="20705277" y="1573266"/>
            <a:ext cx="1440000" cy="26514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Agrupar 239">
            <a:extLst>
              <a:ext uri="{FF2B5EF4-FFF2-40B4-BE49-F238E27FC236}">
                <a16:creationId xmlns:a16="http://schemas.microsoft.com/office/drawing/2014/main" id="{70828365-D592-41C8-A9D3-92F1D788F466}"/>
              </a:ext>
            </a:extLst>
          </xdr:cNvPr>
          <xdr:cNvGrpSpPr/>
        </xdr:nvGrpSpPr>
        <xdr:grpSpPr>
          <a:xfrm>
            <a:off x="19543374" y="1555051"/>
            <a:ext cx="1080000" cy="294818"/>
            <a:chOff x="16647428" y="1500187"/>
            <a:chExt cx="1044224" cy="294818"/>
          </a:xfrm>
        </xdr:grpSpPr>
        <xdr:sp macro="" textlink="">
          <xdr:nvSpPr>
            <xdr:cNvPr id="241" name="Retângulo: Cantos Arredondados 240">
              <a:extLst>
                <a:ext uri="{FF2B5EF4-FFF2-40B4-BE49-F238E27FC236}">
                  <a16:creationId xmlns:a16="http://schemas.microsoft.com/office/drawing/2014/main" id="{97C366E6-735C-A5C6-FA9C-CD0338379CF8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2" name="Retângulo: Cantos Arredondados 241">
              <a:extLst>
                <a:ext uri="{FF2B5EF4-FFF2-40B4-BE49-F238E27FC236}">
                  <a16:creationId xmlns:a16="http://schemas.microsoft.com/office/drawing/2014/main" id="{DBE83809-5F23-57F3-2BE1-50D8EA68D899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Gleba</a:t>
              </a:r>
            </a:p>
          </xdr:txBody>
        </xdr:sp>
      </xdr:grpSp>
      <xdr:grpSp>
        <xdr:nvGrpSpPr>
          <xdr:cNvPr id="243" name="Agrupar 242">
            <a:extLst>
              <a:ext uri="{FF2B5EF4-FFF2-40B4-BE49-F238E27FC236}">
                <a16:creationId xmlns:a16="http://schemas.microsoft.com/office/drawing/2014/main" id="{54B0D480-A873-4784-B3D9-C20164677C79}"/>
              </a:ext>
            </a:extLst>
          </xdr:cNvPr>
          <xdr:cNvGrpSpPr/>
        </xdr:nvGrpSpPr>
        <xdr:grpSpPr>
          <a:xfrm>
            <a:off x="22318894" y="1580409"/>
            <a:ext cx="861352" cy="295678"/>
            <a:chOff x="16650263" y="1500187"/>
            <a:chExt cx="1044881" cy="295678"/>
          </a:xfrm>
        </xdr:grpSpPr>
        <xdr:sp macro="" textlink="">
          <xdr:nvSpPr>
            <xdr:cNvPr id="244" name="Retângulo: Cantos Arredondados 243">
              <a:extLst>
                <a:ext uri="{FF2B5EF4-FFF2-40B4-BE49-F238E27FC236}">
                  <a16:creationId xmlns:a16="http://schemas.microsoft.com/office/drawing/2014/main" id="{36B155F1-AB2F-5FEF-D893-A13D102D3AF2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5" name="Retângulo: Cantos Arredondados 244">
              <a:extLst>
                <a:ext uri="{FF2B5EF4-FFF2-40B4-BE49-F238E27FC236}">
                  <a16:creationId xmlns:a16="http://schemas.microsoft.com/office/drawing/2014/main" id="{C641F2DB-0BA1-4CFD-E654-2DC1933943B0}"/>
                </a:ext>
              </a:extLst>
            </xdr:cNvPr>
            <xdr:cNvSpPr/>
          </xdr:nvSpPr>
          <xdr:spPr>
            <a:xfrm>
              <a:off x="16650263" y="1500780"/>
              <a:ext cx="1044881" cy="29508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Altitude</a:t>
              </a:r>
            </a:p>
          </xdr:txBody>
        </xdr:sp>
      </xdr:grpSp>
      <xdr:sp macro="" textlink="">
        <xdr:nvSpPr>
          <xdr:cNvPr id="246" name="Retângulo: Cantos Arredondados 245">
            <a:extLst>
              <a:ext uri="{FF2B5EF4-FFF2-40B4-BE49-F238E27FC236}">
                <a16:creationId xmlns:a16="http://schemas.microsoft.com/office/drawing/2014/main" id="{4224D094-30BC-4349-98E0-FAA059841778}"/>
              </a:ext>
            </a:extLst>
          </xdr:cNvPr>
          <xdr:cNvSpPr/>
        </xdr:nvSpPr>
        <xdr:spPr>
          <a:xfrm>
            <a:off x="23265517" y="1598833"/>
            <a:ext cx="1188000" cy="264464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5" name="Agrupar 274">
            <a:extLst>
              <a:ext uri="{FF2B5EF4-FFF2-40B4-BE49-F238E27FC236}">
                <a16:creationId xmlns:a16="http://schemas.microsoft.com/office/drawing/2014/main" id="{968C0C9C-C656-41CB-8274-46BB57E96CC5}"/>
              </a:ext>
            </a:extLst>
          </xdr:cNvPr>
          <xdr:cNvGrpSpPr/>
        </xdr:nvGrpSpPr>
        <xdr:grpSpPr>
          <a:xfrm>
            <a:off x="15823300" y="2464775"/>
            <a:ext cx="889200" cy="294818"/>
            <a:chOff x="16647428" y="1500187"/>
            <a:chExt cx="1044224" cy="294818"/>
          </a:xfrm>
        </xdr:grpSpPr>
        <xdr:sp macro="" textlink="">
          <xdr:nvSpPr>
            <xdr:cNvPr id="276" name="Retângulo: Cantos Arredondados 275">
              <a:extLst>
                <a:ext uri="{FF2B5EF4-FFF2-40B4-BE49-F238E27FC236}">
                  <a16:creationId xmlns:a16="http://schemas.microsoft.com/office/drawing/2014/main" id="{CF9AFBE9-EA4D-B84D-BDC9-FC576CEC46F5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7" name="Retângulo: Cantos Arredondados 276">
              <a:extLst>
                <a:ext uri="{FF2B5EF4-FFF2-40B4-BE49-F238E27FC236}">
                  <a16:creationId xmlns:a16="http://schemas.microsoft.com/office/drawing/2014/main" id="{C63F18F8-8AD5-8942-61EC-36BCA527EBAB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Cultivar</a:t>
              </a:r>
            </a:p>
          </xdr:txBody>
        </xdr:sp>
      </xdr:grpSp>
      <xdr:grpSp>
        <xdr:nvGrpSpPr>
          <xdr:cNvPr id="278" name="Agrupar 277">
            <a:extLst>
              <a:ext uri="{FF2B5EF4-FFF2-40B4-BE49-F238E27FC236}">
                <a16:creationId xmlns:a16="http://schemas.microsoft.com/office/drawing/2014/main" id="{108A9FA2-DF2B-42CE-B46E-079C492BED41}"/>
              </a:ext>
            </a:extLst>
          </xdr:cNvPr>
          <xdr:cNvGrpSpPr/>
        </xdr:nvGrpSpPr>
        <xdr:grpSpPr>
          <a:xfrm>
            <a:off x="15823300" y="2919637"/>
            <a:ext cx="889200" cy="294818"/>
            <a:chOff x="16647428" y="1500187"/>
            <a:chExt cx="1044224" cy="294818"/>
          </a:xfrm>
        </xdr:grpSpPr>
        <xdr:sp macro="" textlink="">
          <xdr:nvSpPr>
            <xdr:cNvPr id="279" name="Retângulo: Cantos Arredondados 278">
              <a:extLst>
                <a:ext uri="{FF2B5EF4-FFF2-40B4-BE49-F238E27FC236}">
                  <a16:creationId xmlns:a16="http://schemas.microsoft.com/office/drawing/2014/main" id="{BF0680BD-F45D-3F9A-77C7-FD396E3E862B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0" name="Retângulo: Cantos Arredondados 279">
              <a:extLst>
                <a:ext uri="{FF2B5EF4-FFF2-40B4-BE49-F238E27FC236}">
                  <a16:creationId xmlns:a16="http://schemas.microsoft.com/office/drawing/2014/main" id="{9E48FD1B-4DD2-78E8-A8D8-BD93E1BDB95B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Processo</a:t>
              </a:r>
            </a:p>
          </xdr:txBody>
        </xdr:sp>
      </xdr:grpSp>
      <xdr:grpSp>
        <xdr:nvGrpSpPr>
          <xdr:cNvPr id="281" name="Agrupar 280">
            <a:extLst>
              <a:ext uri="{FF2B5EF4-FFF2-40B4-BE49-F238E27FC236}">
                <a16:creationId xmlns:a16="http://schemas.microsoft.com/office/drawing/2014/main" id="{525CDBDB-E3A2-4E10-88A0-2A7658AEE877}"/>
              </a:ext>
            </a:extLst>
          </xdr:cNvPr>
          <xdr:cNvGrpSpPr/>
        </xdr:nvGrpSpPr>
        <xdr:grpSpPr>
          <a:xfrm>
            <a:off x="15823300" y="3374499"/>
            <a:ext cx="889200" cy="294818"/>
            <a:chOff x="16647428" y="1500187"/>
            <a:chExt cx="1044224" cy="294818"/>
          </a:xfrm>
        </xdr:grpSpPr>
        <xdr:sp macro="" textlink="">
          <xdr:nvSpPr>
            <xdr:cNvPr id="282" name="Retângulo: Cantos Arredondados 281">
              <a:extLst>
                <a:ext uri="{FF2B5EF4-FFF2-40B4-BE49-F238E27FC236}">
                  <a16:creationId xmlns:a16="http://schemas.microsoft.com/office/drawing/2014/main" id="{98EEAEA6-1E71-3B91-23F1-65A3C62D629C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3" name="Retângulo: Cantos Arredondados 282">
              <a:extLst>
                <a:ext uri="{FF2B5EF4-FFF2-40B4-BE49-F238E27FC236}">
                  <a16:creationId xmlns:a16="http://schemas.microsoft.com/office/drawing/2014/main" id="{115E9B35-4CCE-8AFC-3E31-FE64AFD9D610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Seca</a:t>
              </a:r>
            </a:p>
          </xdr:txBody>
        </xdr:sp>
      </xdr:grpSp>
      <xdr:grpSp>
        <xdr:nvGrpSpPr>
          <xdr:cNvPr id="284" name="Agrupar 283">
            <a:extLst>
              <a:ext uri="{FF2B5EF4-FFF2-40B4-BE49-F238E27FC236}">
                <a16:creationId xmlns:a16="http://schemas.microsoft.com/office/drawing/2014/main" id="{277BE2BD-84FE-4790-883A-CF66D5E1191B}"/>
              </a:ext>
            </a:extLst>
          </xdr:cNvPr>
          <xdr:cNvGrpSpPr/>
        </xdr:nvGrpSpPr>
        <xdr:grpSpPr>
          <a:xfrm>
            <a:off x="15823300" y="3829363"/>
            <a:ext cx="889200" cy="294818"/>
            <a:chOff x="16647428" y="1500187"/>
            <a:chExt cx="1044224" cy="294818"/>
          </a:xfrm>
        </xdr:grpSpPr>
        <xdr:sp macro="" textlink="">
          <xdr:nvSpPr>
            <xdr:cNvPr id="285" name="Retângulo: Cantos Arredondados 284">
              <a:extLst>
                <a:ext uri="{FF2B5EF4-FFF2-40B4-BE49-F238E27FC236}">
                  <a16:creationId xmlns:a16="http://schemas.microsoft.com/office/drawing/2014/main" id="{8F98580B-9D2D-9C15-D30C-3206AF0FB347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6" name="Retângulo: Cantos Arredondados 285">
              <a:extLst>
                <a:ext uri="{FF2B5EF4-FFF2-40B4-BE49-F238E27FC236}">
                  <a16:creationId xmlns:a16="http://schemas.microsoft.com/office/drawing/2014/main" id="{55DFD15A-7662-2B32-40E7-415E0BB25E71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Cor</a:t>
              </a:r>
            </a:p>
          </xdr:txBody>
        </xdr:sp>
      </xdr:grpSp>
      <xdr:grpSp>
        <xdr:nvGrpSpPr>
          <xdr:cNvPr id="287" name="Agrupar 286">
            <a:extLst>
              <a:ext uri="{FF2B5EF4-FFF2-40B4-BE49-F238E27FC236}">
                <a16:creationId xmlns:a16="http://schemas.microsoft.com/office/drawing/2014/main" id="{C508891C-BE4C-4C49-AC29-E2882B504606}"/>
              </a:ext>
            </a:extLst>
          </xdr:cNvPr>
          <xdr:cNvGrpSpPr/>
        </xdr:nvGrpSpPr>
        <xdr:grpSpPr>
          <a:xfrm>
            <a:off x="15823301" y="1555051"/>
            <a:ext cx="952766" cy="294818"/>
            <a:chOff x="16647427" y="1500187"/>
            <a:chExt cx="1118872" cy="294818"/>
          </a:xfrm>
        </xdr:grpSpPr>
        <xdr:sp macro="" textlink="">
          <xdr:nvSpPr>
            <xdr:cNvPr id="288" name="Retângulo: Cantos Arredondados 287">
              <a:extLst>
                <a:ext uri="{FF2B5EF4-FFF2-40B4-BE49-F238E27FC236}">
                  <a16:creationId xmlns:a16="http://schemas.microsoft.com/office/drawing/2014/main" id="{E4FFA6D3-C1ED-A93E-1103-4A433B2AF126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9" name="Retângulo: Cantos Arredondados 288">
              <a:extLst>
                <a:ext uri="{FF2B5EF4-FFF2-40B4-BE49-F238E27FC236}">
                  <a16:creationId xmlns:a16="http://schemas.microsoft.com/office/drawing/2014/main" id="{5151D898-B37F-A387-29DA-6922C6831855}"/>
                </a:ext>
              </a:extLst>
            </xdr:cNvPr>
            <xdr:cNvSpPr/>
          </xdr:nvSpPr>
          <xdr:spPr>
            <a:xfrm>
              <a:off x="16647427" y="1500187"/>
              <a:ext cx="1118872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Variedade</a:t>
              </a:r>
            </a:p>
          </xdr:txBody>
        </xdr:sp>
      </xdr:grpSp>
      <xdr:grpSp>
        <xdr:nvGrpSpPr>
          <xdr:cNvPr id="290" name="Agrupar 289">
            <a:extLst>
              <a:ext uri="{FF2B5EF4-FFF2-40B4-BE49-F238E27FC236}">
                <a16:creationId xmlns:a16="http://schemas.microsoft.com/office/drawing/2014/main" id="{3257C5AA-6A94-4833-823C-A1DA7F299D16}"/>
              </a:ext>
            </a:extLst>
          </xdr:cNvPr>
          <xdr:cNvGrpSpPr/>
        </xdr:nvGrpSpPr>
        <xdr:grpSpPr>
          <a:xfrm>
            <a:off x="15823300" y="2009913"/>
            <a:ext cx="889200" cy="294818"/>
            <a:chOff x="16647428" y="1500187"/>
            <a:chExt cx="1044224" cy="294818"/>
          </a:xfrm>
        </xdr:grpSpPr>
        <xdr:sp macro="" textlink="">
          <xdr:nvSpPr>
            <xdr:cNvPr id="291" name="Retângulo: Cantos Arredondados 290">
              <a:extLst>
                <a:ext uri="{FF2B5EF4-FFF2-40B4-BE49-F238E27FC236}">
                  <a16:creationId xmlns:a16="http://schemas.microsoft.com/office/drawing/2014/main" id="{4F4E5681-157F-F1B7-B74E-6789004A574C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2" name="Retângulo: Cantos Arredondados 291">
              <a:extLst>
                <a:ext uri="{FF2B5EF4-FFF2-40B4-BE49-F238E27FC236}">
                  <a16:creationId xmlns:a16="http://schemas.microsoft.com/office/drawing/2014/main" id="{4495BB1C-E78C-907D-AE5F-B7B7CA7AE91E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Padrão</a:t>
              </a:r>
            </a:p>
          </xdr:txBody>
        </xdr:sp>
      </xdr:grpSp>
      <xdr:grpSp>
        <xdr:nvGrpSpPr>
          <xdr:cNvPr id="293" name="Agrupar 292">
            <a:extLst>
              <a:ext uri="{FF2B5EF4-FFF2-40B4-BE49-F238E27FC236}">
                <a16:creationId xmlns:a16="http://schemas.microsoft.com/office/drawing/2014/main" id="{31A98486-F214-4D5F-8326-9507B3204F52}"/>
              </a:ext>
            </a:extLst>
          </xdr:cNvPr>
          <xdr:cNvGrpSpPr/>
        </xdr:nvGrpSpPr>
        <xdr:grpSpPr>
          <a:xfrm>
            <a:off x="15823300" y="1100189"/>
            <a:ext cx="606413" cy="294818"/>
            <a:chOff x="16647428" y="1500187"/>
            <a:chExt cx="1044224" cy="294818"/>
          </a:xfrm>
        </xdr:grpSpPr>
        <xdr:sp macro="" textlink="">
          <xdr:nvSpPr>
            <xdr:cNvPr id="294" name="Retângulo: Cantos Arredondados 293">
              <a:extLst>
                <a:ext uri="{FF2B5EF4-FFF2-40B4-BE49-F238E27FC236}">
                  <a16:creationId xmlns:a16="http://schemas.microsoft.com/office/drawing/2014/main" id="{B7F25DBD-2CDD-1624-D5A3-0F2673ED1707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5" name="Retângulo: Cantos Arredondados 294">
              <a:extLst>
                <a:ext uri="{FF2B5EF4-FFF2-40B4-BE49-F238E27FC236}">
                  <a16:creationId xmlns:a16="http://schemas.microsoft.com/office/drawing/2014/main" id="{E3B7E0D1-01F6-20BC-36C0-9B4E24C1175F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ID</a:t>
              </a:r>
            </a:p>
          </xdr:txBody>
        </xdr:sp>
      </xdr:grpSp>
      <xdr:grpSp>
        <xdr:nvGrpSpPr>
          <xdr:cNvPr id="296" name="Agrupar 295">
            <a:extLst>
              <a:ext uri="{FF2B5EF4-FFF2-40B4-BE49-F238E27FC236}">
                <a16:creationId xmlns:a16="http://schemas.microsoft.com/office/drawing/2014/main" id="{C9B0EF03-1F29-4CA1-BA53-8DF3A532F1D0}"/>
              </a:ext>
            </a:extLst>
          </xdr:cNvPr>
          <xdr:cNvGrpSpPr/>
        </xdr:nvGrpSpPr>
        <xdr:grpSpPr>
          <a:xfrm>
            <a:off x="15810255" y="4264412"/>
            <a:ext cx="889200" cy="294818"/>
            <a:chOff x="16647428" y="1500187"/>
            <a:chExt cx="1044224" cy="294818"/>
          </a:xfrm>
        </xdr:grpSpPr>
        <xdr:sp macro="" textlink="">
          <xdr:nvSpPr>
            <xdr:cNvPr id="297" name="Retângulo: Cantos Arredondados 296">
              <a:extLst>
                <a:ext uri="{FF2B5EF4-FFF2-40B4-BE49-F238E27FC236}">
                  <a16:creationId xmlns:a16="http://schemas.microsoft.com/office/drawing/2014/main" id="{D2323B36-D55F-31BF-44B3-DD262D273E3A}"/>
                </a:ext>
              </a:extLst>
            </xdr:cNvPr>
            <xdr:cNvSpPr/>
          </xdr:nvSpPr>
          <xdr:spPr>
            <a:xfrm>
              <a:off x="16710539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8" name="Retângulo: Cantos Arredondados 297">
              <a:extLst>
                <a:ext uri="{FF2B5EF4-FFF2-40B4-BE49-F238E27FC236}">
                  <a16:creationId xmlns:a16="http://schemas.microsoft.com/office/drawing/2014/main" id="{433582FE-A39C-166A-010B-BCE97D4493D1}"/>
                </a:ext>
              </a:extLst>
            </xdr:cNvPr>
            <xdr:cNvSpPr/>
          </xdr:nvSpPr>
          <xdr:spPr>
            <a:xfrm>
              <a:off x="16647428" y="1500187"/>
              <a:ext cx="1044224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Aspecto</a:t>
              </a:r>
            </a:p>
          </xdr:txBody>
        </xdr:sp>
      </xdr:grpSp>
    </xdr:grpSp>
    <xdr:clientData/>
  </xdr:twoCellAnchor>
  <xdr:twoCellAnchor>
    <xdr:from>
      <xdr:col>2</xdr:col>
      <xdr:colOff>17145</xdr:colOff>
      <xdr:row>28</xdr:row>
      <xdr:rowOff>134689</xdr:rowOff>
    </xdr:from>
    <xdr:to>
      <xdr:col>16</xdr:col>
      <xdr:colOff>283727</xdr:colOff>
      <xdr:row>54</xdr:row>
      <xdr:rowOff>20507</xdr:rowOff>
    </xdr:to>
    <xdr:sp macro="" textlink="">
      <xdr:nvSpPr>
        <xdr:cNvPr id="97" name="Retângulo: Cantos Arredondados 96">
          <a:extLst>
            <a:ext uri="{FF2B5EF4-FFF2-40B4-BE49-F238E27FC236}">
              <a16:creationId xmlns:a16="http://schemas.microsoft.com/office/drawing/2014/main" id="{41746C26-A0FF-6860-B96C-E46A5307DB8B}"/>
            </a:ext>
          </a:extLst>
        </xdr:cNvPr>
        <xdr:cNvSpPr/>
      </xdr:nvSpPr>
      <xdr:spPr>
        <a:xfrm>
          <a:off x="1227380" y="5154924"/>
          <a:ext cx="8738229" cy="5018112"/>
        </a:xfrm>
        <a:prstGeom prst="roundRect">
          <a:avLst>
            <a:gd name="adj" fmla="val 8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140280</xdr:colOff>
      <xdr:row>29</xdr:row>
      <xdr:rowOff>79125</xdr:rowOff>
    </xdr:from>
    <xdr:to>
      <xdr:col>4</xdr:col>
      <xdr:colOff>490090</xdr:colOff>
      <xdr:row>30</xdr:row>
      <xdr:rowOff>157727</xdr:rowOff>
    </xdr:to>
    <xdr:sp macro="" textlink="">
      <xdr:nvSpPr>
        <xdr:cNvPr id="98" name="Retângulo: Cantos Arredondados 97">
          <a:extLst>
            <a:ext uri="{FF2B5EF4-FFF2-40B4-BE49-F238E27FC236}">
              <a16:creationId xmlns:a16="http://schemas.microsoft.com/office/drawing/2014/main" id="{DCC6F355-E473-DF78-C9B7-051427869D52}"/>
            </a:ext>
          </a:extLst>
        </xdr:cNvPr>
        <xdr:cNvSpPr/>
      </xdr:nvSpPr>
      <xdr:spPr>
        <a:xfrm>
          <a:off x="1955633" y="5312272"/>
          <a:ext cx="954928" cy="291514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404525</xdr:colOff>
      <xdr:row>31</xdr:row>
      <xdr:rowOff>135930</xdr:rowOff>
    </xdr:from>
    <xdr:to>
      <xdr:col>5</xdr:col>
      <xdr:colOff>545883</xdr:colOff>
      <xdr:row>33</xdr:row>
      <xdr:rowOff>11147</xdr:rowOff>
    </xdr:to>
    <xdr:sp macro="" textlink="">
      <xdr:nvSpPr>
        <xdr:cNvPr id="99" name="Retângulo: Cantos Arredondados 98">
          <a:extLst>
            <a:ext uri="{FF2B5EF4-FFF2-40B4-BE49-F238E27FC236}">
              <a16:creationId xmlns:a16="http://schemas.microsoft.com/office/drawing/2014/main" id="{09A9961A-6CC7-2C78-71C5-9458DD4FE01B}"/>
            </a:ext>
          </a:extLst>
        </xdr:cNvPr>
        <xdr:cNvSpPr/>
      </xdr:nvSpPr>
      <xdr:spPr>
        <a:xfrm>
          <a:off x="2824996" y="5794901"/>
          <a:ext cx="746475" cy="30104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404525</xdr:colOff>
      <xdr:row>34</xdr:row>
      <xdr:rowOff>5726</xdr:rowOff>
    </xdr:from>
    <xdr:to>
      <xdr:col>5</xdr:col>
      <xdr:colOff>545883</xdr:colOff>
      <xdr:row>35</xdr:row>
      <xdr:rowOff>87391</xdr:rowOff>
    </xdr:to>
    <xdr:sp macro="" textlink="">
      <xdr:nvSpPr>
        <xdr:cNvPr id="101" name="Retângulo: Cantos Arredondados 100">
          <a:extLst>
            <a:ext uri="{FF2B5EF4-FFF2-40B4-BE49-F238E27FC236}">
              <a16:creationId xmlns:a16="http://schemas.microsoft.com/office/drawing/2014/main" id="{CBFE7932-DB43-6E0C-1725-6A571DC2F26B}"/>
            </a:ext>
          </a:extLst>
        </xdr:cNvPr>
        <xdr:cNvSpPr/>
      </xdr:nvSpPr>
      <xdr:spPr>
        <a:xfrm>
          <a:off x="2824996" y="6303432"/>
          <a:ext cx="746475" cy="29457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38</xdr:row>
      <xdr:rowOff>173529</xdr:rowOff>
    </xdr:from>
    <xdr:to>
      <xdr:col>5</xdr:col>
      <xdr:colOff>534677</xdr:colOff>
      <xdr:row>40</xdr:row>
      <xdr:rowOff>43031</xdr:rowOff>
    </xdr:to>
    <xdr:sp macro="" textlink="">
      <xdr:nvSpPr>
        <xdr:cNvPr id="103" name="Retângulo: Cantos Arredondados 102">
          <a:extLst>
            <a:ext uri="{FF2B5EF4-FFF2-40B4-BE49-F238E27FC236}">
              <a16:creationId xmlns:a16="http://schemas.microsoft.com/office/drawing/2014/main" id="{BD31FC78-9684-4DD9-1A02-7D5E9DAC937D}"/>
            </a:ext>
          </a:extLst>
        </xdr:cNvPr>
        <xdr:cNvSpPr/>
      </xdr:nvSpPr>
      <xdr:spPr>
        <a:xfrm>
          <a:off x="2811885" y="7322882"/>
          <a:ext cx="748380" cy="29532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397488</xdr:colOff>
      <xdr:row>29</xdr:row>
      <xdr:rowOff>79125</xdr:rowOff>
    </xdr:from>
    <xdr:to>
      <xdr:col>12</xdr:col>
      <xdr:colOff>294653</xdr:colOff>
      <xdr:row>30</xdr:row>
      <xdr:rowOff>157728</xdr:rowOff>
    </xdr:to>
    <xdr:sp macro="" textlink="">
      <xdr:nvSpPr>
        <xdr:cNvPr id="105" name="Retângulo: Cantos Arredondados 104">
          <a:extLst>
            <a:ext uri="{FF2B5EF4-FFF2-40B4-BE49-F238E27FC236}">
              <a16:creationId xmlns:a16="http://schemas.microsoft.com/office/drawing/2014/main" id="{608994B3-CB59-27E0-A16D-9C1D72DABEC5}"/>
            </a:ext>
          </a:extLst>
        </xdr:cNvPr>
        <xdr:cNvSpPr/>
      </xdr:nvSpPr>
      <xdr:spPr>
        <a:xfrm>
          <a:off x="6448664" y="5312272"/>
          <a:ext cx="1107401" cy="2915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404525</xdr:colOff>
      <xdr:row>36</xdr:row>
      <xdr:rowOff>64826</xdr:rowOff>
    </xdr:from>
    <xdr:to>
      <xdr:col>5</xdr:col>
      <xdr:colOff>545883</xdr:colOff>
      <xdr:row>37</xdr:row>
      <xdr:rowOff>160574</xdr:rowOff>
    </xdr:to>
    <xdr:sp macro="" textlink="">
      <xdr:nvSpPr>
        <xdr:cNvPr id="107" name="Retângulo: Cantos Arredondados 106">
          <a:extLst>
            <a:ext uri="{FF2B5EF4-FFF2-40B4-BE49-F238E27FC236}">
              <a16:creationId xmlns:a16="http://schemas.microsoft.com/office/drawing/2014/main" id="{F1800758-BFE3-79C7-297D-6B23EC5C83AE}"/>
            </a:ext>
          </a:extLst>
        </xdr:cNvPr>
        <xdr:cNvSpPr/>
      </xdr:nvSpPr>
      <xdr:spPr>
        <a:xfrm>
          <a:off x="2824996" y="6788355"/>
          <a:ext cx="746475" cy="30866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41</xdr:row>
      <xdr:rowOff>39514</xdr:rowOff>
    </xdr:from>
    <xdr:to>
      <xdr:col>5</xdr:col>
      <xdr:colOff>534677</xdr:colOff>
      <xdr:row>42</xdr:row>
      <xdr:rowOff>115687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47C34047-12FA-F846-CB49-462642BAEEFC}"/>
            </a:ext>
          </a:extLst>
        </xdr:cNvPr>
        <xdr:cNvSpPr/>
      </xdr:nvSpPr>
      <xdr:spPr>
        <a:xfrm>
          <a:off x="2811885" y="7827602"/>
          <a:ext cx="748380" cy="28908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43</xdr:row>
      <xdr:rowOff>138169</xdr:rowOff>
    </xdr:from>
    <xdr:to>
      <xdr:col>5</xdr:col>
      <xdr:colOff>534677</xdr:colOff>
      <xdr:row>45</xdr:row>
      <xdr:rowOff>80621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4A4986F9-B9C2-709D-0BBE-AAE1B6DC500E}"/>
            </a:ext>
          </a:extLst>
        </xdr:cNvPr>
        <xdr:cNvSpPr/>
      </xdr:nvSpPr>
      <xdr:spPr>
        <a:xfrm>
          <a:off x="2811885" y="8318463"/>
          <a:ext cx="748380" cy="30104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18032</xdr:colOff>
      <xdr:row>29</xdr:row>
      <xdr:rowOff>96214</xdr:rowOff>
    </xdr:from>
    <xdr:to>
      <xdr:col>10</xdr:col>
      <xdr:colOff>229268</xdr:colOff>
      <xdr:row>30</xdr:row>
      <xdr:rowOff>207442</xdr:rowOff>
    </xdr:to>
    <xdr:sp macro="" textlink="">
      <xdr:nvSpPr>
        <xdr:cNvPr id="132" name="Retângulo: Cantos Arredondados 131">
          <a:extLst>
            <a:ext uri="{FF2B5EF4-FFF2-40B4-BE49-F238E27FC236}">
              <a16:creationId xmlns:a16="http://schemas.microsoft.com/office/drawing/2014/main" id="{D1CF474D-0F95-290D-C758-432183AFD7A5}"/>
            </a:ext>
          </a:extLst>
        </xdr:cNvPr>
        <xdr:cNvSpPr/>
      </xdr:nvSpPr>
      <xdr:spPr>
        <a:xfrm>
          <a:off x="5464091" y="5329361"/>
          <a:ext cx="816353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78603</xdr:colOff>
      <xdr:row>29</xdr:row>
      <xdr:rowOff>79125</xdr:rowOff>
    </xdr:from>
    <xdr:to>
      <xdr:col>10</xdr:col>
      <xdr:colOff>288110</xdr:colOff>
      <xdr:row>30</xdr:row>
      <xdr:rowOff>190353</xdr:rowOff>
    </xdr:to>
    <xdr:sp macro="" textlink="">
      <xdr:nvSpPr>
        <xdr:cNvPr id="133" name="Retângulo: Cantos Arredondados 132">
          <a:extLst>
            <a:ext uri="{FF2B5EF4-FFF2-40B4-BE49-F238E27FC236}">
              <a16:creationId xmlns:a16="http://schemas.microsoft.com/office/drawing/2014/main" id="{A1E65CD4-DD19-A1D3-F83D-1C2944051844}"/>
            </a:ext>
          </a:extLst>
        </xdr:cNvPr>
        <xdr:cNvSpPr/>
      </xdr:nvSpPr>
      <xdr:spPr>
        <a:xfrm>
          <a:off x="5524662" y="5312272"/>
          <a:ext cx="814624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76200" dist="63500" dir="13500000" algn="tl" rotWithShape="0">
            <a:schemeClr val="tx1">
              <a:lumMod val="50000"/>
              <a:lumOff val="50000"/>
              <a:alpha val="48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Espécie</a:t>
          </a:r>
        </a:p>
      </xdr:txBody>
    </xdr:sp>
    <xdr:clientData/>
  </xdr:twoCellAnchor>
  <xdr:twoCellAnchor>
    <xdr:from>
      <xdr:col>3</xdr:col>
      <xdr:colOff>253000</xdr:colOff>
      <xdr:row>29</xdr:row>
      <xdr:rowOff>115195</xdr:rowOff>
    </xdr:from>
    <xdr:to>
      <xdr:col>3</xdr:col>
      <xdr:colOff>472637</xdr:colOff>
      <xdr:row>30</xdr:row>
      <xdr:rowOff>146432</xdr:rowOff>
    </xdr:to>
    <xdr:pic>
      <xdr:nvPicPr>
        <xdr:cNvPr id="135" name="Gráfico 134" descr="Usuário">
          <a:extLst>
            <a:ext uri="{FF2B5EF4-FFF2-40B4-BE49-F238E27FC236}">
              <a16:creationId xmlns:a16="http://schemas.microsoft.com/office/drawing/2014/main" id="{45510844-C2C8-177F-FCB6-DF177ACE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8353" y="5348342"/>
          <a:ext cx="219637" cy="244149"/>
        </a:xfrm>
        <a:prstGeom prst="rect">
          <a:avLst/>
        </a:prstGeom>
      </xdr:spPr>
    </xdr:pic>
    <xdr:clientData/>
  </xdr:twoCellAnchor>
  <xdr:twoCellAnchor>
    <xdr:from>
      <xdr:col>4</xdr:col>
      <xdr:colOff>599468</xdr:colOff>
      <xdr:row>29</xdr:row>
      <xdr:rowOff>70929</xdr:rowOff>
    </xdr:from>
    <xdr:to>
      <xdr:col>6</xdr:col>
      <xdr:colOff>567322</xdr:colOff>
      <xdr:row>30</xdr:row>
      <xdr:rowOff>182157</xdr:rowOff>
    </xdr:to>
    <xdr:grpSp>
      <xdr:nvGrpSpPr>
        <xdr:cNvPr id="137" name="Agrupar 136">
          <a:extLst>
            <a:ext uri="{FF2B5EF4-FFF2-40B4-BE49-F238E27FC236}">
              <a16:creationId xmlns:a16="http://schemas.microsoft.com/office/drawing/2014/main" id="{B3381212-62EB-726F-02DF-8949893C8135}"/>
            </a:ext>
          </a:extLst>
        </xdr:cNvPr>
        <xdr:cNvGrpSpPr/>
      </xdr:nvGrpSpPr>
      <xdr:grpSpPr>
        <a:xfrm>
          <a:off x="3019939" y="5617841"/>
          <a:ext cx="1178089" cy="324140"/>
          <a:chOff x="16647427" y="1500187"/>
          <a:chExt cx="1044224" cy="294818"/>
        </a:xfrm>
      </xdr:grpSpPr>
      <xdr:sp macro="" textlink="">
        <xdr:nvSpPr>
          <xdr:cNvPr id="267" name="Retângulo: Cantos Arredondados 266">
            <a:extLst>
              <a:ext uri="{FF2B5EF4-FFF2-40B4-BE49-F238E27FC236}">
                <a16:creationId xmlns:a16="http://schemas.microsoft.com/office/drawing/2014/main" id="{93344CFD-D8C3-26D9-BF81-F5026722696E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8" name="Retângulo: Cantos Arredondados 267">
            <a:extLst>
              <a:ext uri="{FF2B5EF4-FFF2-40B4-BE49-F238E27FC236}">
                <a16:creationId xmlns:a16="http://schemas.microsoft.com/office/drawing/2014/main" id="{FEE03DA3-74F1-86D4-BAAA-0F23A8FDBA85}"/>
              </a:ext>
            </a:extLst>
          </xdr:cNvPr>
          <xdr:cNvSpPr/>
        </xdr:nvSpPr>
        <xdr:spPr>
          <a:xfrm>
            <a:off x="16647427" y="1500187"/>
            <a:ext cx="104422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 Amostra</a:t>
            </a:r>
          </a:p>
        </xdr:txBody>
      </xdr:sp>
    </xdr:grpSp>
    <xdr:clientData/>
  </xdr:twoCellAnchor>
  <xdr:twoCellAnchor>
    <xdr:from>
      <xdr:col>7</xdr:col>
      <xdr:colOff>71583</xdr:colOff>
      <xdr:row>29</xdr:row>
      <xdr:rowOff>79125</xdr:rowOff>
    </xdr:from>
    <xdr:to>
      <xdr:col>8</xdr:col>
      <xdr:colOff>574343</xdr:colOff>
      <xdr:row>30</xdr:row>
      <xdr:rowOff>157728</xdr:rowOff>
    </xdr:to>
    <xdr:sp macro="" textlink="">
      <xdr:nvSpPr>
        <xdr:cNvPr id="138" name="Retângulo: Cantos Arredondados 137">
          <a:extLst>
            <a:ext uri="{FF2B5EF4-FFF2-40B4-BE49-F238E27FC236}">
              <a16:creationId xmlns:a16="http://schemas.microsoft.com/office/drawing/2014/main" id="{41376047-9CE1-6FFE-29DC-F9C96850ED34}"/>
            </a:ext>
          </a:extLst>
        </xdr:cNvPr>
        <xdr:cNvSpPr/>
      </xdr:nvSpPr>
      <xdr:spPr>
        <a:xfrm>
          <a:off x="4307407" y="5312272"/>
          <a:ext cx="1107877" cy="2915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371965</xdr:colOff>
      <xdr:row>29</xdr:row>
      <xdr:rowOff>78114</xdr:rowOff>
    </xdr:from>
    <xdr:to>
      <xdr:col>13</xdr:col>
      <xdr:colOff>581472</xdr:colOff>
      <xdr:row>30</xdr:row>
      <xdr:rowOff>189342</xdr:rowOff>
    </xdr:to>
    <xdr:sp macro="" textlink="">
      <xdr:nvSpPr>
        <xdr:cNvPr id="139" name="Retângulo: Cantos Arredondados 138">
          <a:extLst>
            <a:ext uri="{FF2B5EF4-FFF2-40B4-BE49-F238E27FC236}">
              <a16:creationId xmlns:a16="http://schemas.microsoft.com/office/drawing/2014/main" id="{E3A0F6D8-4265-AC60-8832-C32DFBF7948B}"/>
            </a:ext>
          </a:extLst>
        </xdr:cNvPr>
        <xdr:cNvSpPr/>
      </xdr:nvSpPr>
      <xdr:spPr>
        <a:xfrm>
          <a:off x="7633377" y="5311261"/>
          <a:ext cx="814624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76200" dist="63500" dir="13500000" algn="tl" rotWithShape="0">
            <a:schemeClr val="tx1">
              <a:lumMod val="50000"/>
              <a:lumOff val="50000"/>
              <a:alpha val="48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404031</xdr:colOff>
      <xdr:row>29</xdr:row>
      <xdr:rowOff>79125</xdr:rowOff>
    </xdr:from>
    <xdr:to>
      <xdr:col>14</xdr:col>
      <xdr:colOff>10149</xdr:colOff>
      <xdr:row>30</xdr:row>
      <xdr:rowOff>190353</xdr:rowOff>
    </xdr:to>
    <xdr:sp macro="" textlink="">
      <xdr:nvSpPr>
        <xdr:cNvPr id="140" name="Retângulo: Cantos Arredondados 139">
          <a:extLst>
            <a:ext uri="{FF2B5EF4-FFF2-40B4-BE49-F238E27FC236}">
              <a16:creationId xmlns:a16="http://schemas.microsoft.com/office/drawing/2014/main" id="{026020FF-6420-7316-A528-ACA0779BD50B}"/>
            </a:ext>
          </a:extLst>
        </xdr:cNvPr>
        <xdr:cNvSpPr/>
      </xdr:nvSpPr>
      <xdr:spPr>
        <a:xfrm>
          <a:off x="7665443" y="5312272"/>
          <a:ext cx="816353" cy="32414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100" b="1">
              <a:latin typeface="Segoe UI" panose="020B0502040204020203" pitchFamily="34" charset="0"/>
              <a:cs typeface="Segoe UI" panose="020B0502040204020203" pitchFamily="34" charset="0"/>
            </a:rPr>
            <a:t>Nº</a:t>
          </a:r>
          <a:r>
            <a:rPr lang="pt-BR" sz="1100" b="1" baseline="0">
              <a:latin typeface="Segoe UI" panose="020B0502040204020203" pitchFamily="34" charset="0"/>
              <a:cs typeface="Segoe UI" panose="020B0502040204020203" pitchFamily="34" charset="0"/>
            </a:rPr>
            <a:t> Lote</a:t>
          </a:r>
          <a:endParaRPr lang="pt-BR" sz="11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14</xdr:col>
      <xdr:colOff>119527</xdr:colOff>
      <xdr:row>29</xdr:row>
      <xdr:rowOff>79125</xdr:rowOff>
    </xdr:from>
    <xdr:to>
      <xdr:col>16</xdr:col>
      <xdr:colOff>80581</xdr:colOff>
      <xdr:row>30</xdr:row>
      <xdr:rowOff>157728</xdr:rowOff>
    </xdr:to>
    <xdr:sp macro="" textlink="">
      <xdr:nvSpPr>
        <xdr:cNvPr id="141" name="Retângulo: Cantos Arredondados 140">
          <a:extLst>
            <a:ext uri="{FF2B5EF4-FFF2-40B4-BE49-F238E27FC236}">
              <a16:creationId xmlns:a16="http://schemas.microsoft.com/office/drawing/2014/main" id="{F1FBC2FF-0AA7-C05C-E89D-63763B66AC42}"/>
            </a:ext>
          </a:extLst>
        </xdr:cNvPr>
        <xdr:cNvSpPr/>
      </xdr:nvSpPr>
      <xdr:spPr>
        <a:xfrm>
          <a:off x="8591174" y="5312272"/>
          <a:ext cx="1171289" cy="2915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59904</xdr:colOff>
      <xdr:row>51</xdr:row>
      <xdr:rowOff>96983</xdr:rowOff>
    </xdr:from>
    <xdr:to>
      <xdr:col>4</xdr:col>
      <xdr:colOff>286068</xdr:colOff>
      <xdr:row>53</xdr:row>
      <xdr:rowOff>26395</xdr:rowOff>
    </xdr:to>
    <xdr:grpSp>
      <xdr:nvGrpSpPr>
        <xdr:cNvPr id="142" name="Agrupar 141">
          <a:extLst>
            <a:ext uri="{FF2B5EF4-FFF2-40B4-BE49-F238E27FC236}">
              <a16:creationId xmlns:a16="http://schemas.microsoft.com/office/drawing/2014/main" id="{1B4868E8-2AAA-2904-289A-460B61B11F24}"/>
            </a:ext>
          </a:extLst>
        </xdr:cNvPr>
        <xdr:cNvGrpSpPr/>
      </xdr:nvGrpSpPr>
      <xdr:grpSpPr>
        <a:xfrm>
          <a:off x="1270139" y="10126248"/>
          <a:ext cx="1436400" cy="310412"/>
          <a:chOff x="16647429" y="1500187"/>
          <a:chExt cx="981111" cy="294818"/>
        </a:xfrm>
      </xdr:grpSpPr>
      <xdr:sp macro="" textlink="">
        <xdr:nvSpPr>
          <xdr:cNvPr id="265" name="Retângulo: Cantos Arredondados 264">
            <a:extLst>
              <a:ext uri="{FF2B5EF4-FFF2-40B4-BE49-F238E27FC236}">
                <a16:creationId xmlns:a16="http://schemas.microsoft.com/office/drawing/2014/main" id="{5EECC17C-C59B-551E-F3EC-FF745AD259CD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6" name="Retângulo: Cantos Arredondados 265">
            <a:extLst>
              <a:ext uri="{FF2B5EF4-FFF2-40B4-BE49-F238E27FC236}">
                <a16:creationId xmlns:a16="http://schemas.microsoft.com/office/drawing/2014/main" id="{DB5FB581-9CCA-19FC-1521-FFC83ACE9919}"/>
              </a:ext>
            </a:extLst>
          </xdr:cNvPr>
          <xdr:cNvSpPr/>
        </xdr:nvSpPr>
        <xdr:spPr>
          <a:xfrm>
            <a:off x="16647429" y="1500187"/>
            <a:ext cx="963839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Equilíbrio</a:t>
            </a:r>
          </a:p>
        </xdr:txBody>
      </xdr:sp>
    </xdr:grpSp>
    <xdr:clientData/>
  </xdr:twoCellAnchor>
  <xdr:twoCellAnchor>
    <xdr:from>
      <xdr:col>6</xdr:col>
      <xdr:colOff>60121</xdr:colOff>
      <xdr:row>31</xdr:row>
      <xdr:rowOff>178657</xdr:rowOff>
    </xdr:from>
    <xdr:to>
      <xdr:col>8</xdr:col>
      <xdr:colOff>292001</xdr:colOff>
      <xdr:row>33</xdr:row>
      <xdr:rowOff>40834</xdr:rowOff>
    </xdr:to>
    <xdr:grpSp>
      <xdr:nvGrpSpPr>
        <xdr:cNvPr id="144" name="Agrupar 143">
          <a:extLst>
            <a:ext uri="{FF2B5EF4-FFF2-40B4-BE49-F238E27FC236}">
              <a16:creationId xmlns:a16="http://schemas.microsoft.com/office/drawing/2014/main" id="{56D3FD33-111A-320F-3FA6-3ACC3D7BF5D0}"/>
            </a:ext>
          </a:extLst>
        </xdr:cNvPr>
        <xdr:cNvGrpSpPr/>
      </xdr:nvGrpSpPr>
      <xdr:grpSpPr>
        <a:xfrm>
          <a:off x="3690827" y="6151392"/>
          <a:ext cx="1442115" cy="288001"/>
          <a:chOff x="16647428" y="1500187"/>
          <a:chExt cx="981112" cy="294818"/>
        </a:xfrm>
      </xdr:grpSpPr>
      <xdr:sp macro="" textlink="">
        <xdr:nvSpPr>
          <xdr:cNvPr id="263" name="Retângulo: Cantos Arredondados 262">
            <a:extLst>
              <a:ext uri="{FF2B5EF4-FFF2-40B4-BE49-F238E27FC236}">
                <a16:creationId xmlns:a16="http://schemas.microsoft.com/office/drawing/2014/main" id="{C690AB39-5BC6-DA79-C9DE-7BC89914E5CF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4" name="Retângulo: Cantos Arredondados 263">
            <a:extLst>
              <a:ext uri="{FF2B5EF4-FFF2-40B4-BE49-F238E27FC236}">
                <a16:creationId xmlns:a16="http://schemas.microsoft.com/office/drawing/2014/main" id="{052BA446-8E9C-28D0-BA29-BDC7DA492341}"/>
              </a:ext>
            </a:extLst>
          </xdr:cNvPr>
          <xdr:cNvSpPr/>
        </xdr:nvSpPr>
        <xdr:spPr>
          <a:xfrm>
            <a:off x="16647428" y="1500187"/>
            <a:ext cx="95465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Limpeza</a:t>
            </a:r>
          </a:p>
        </xdr:txBody>
      </xdr:sp>
    </xdr:grpSp>
    <xdr:clientData/>
  </xdr:twoCellAnchor>
  <xdr:twoCellAnchor>
    <xdr:from>
      <xdr:col>6</xdr:col>
      <xdr:colOff>60122</xdr:colOff>
      <xdr:row>34</xdr:row>
      <xdr:rowOff>43834</xdr:rowOff>
    </xdr:from>
    <xdr:to>
      <xdr:col>8</xdr:col>
      <xdr:colOff>292002</xdr:colOff>
      <xdr:row>35</xdr:row>
      <xdr:rowOff>118922</xdr:rowOff>
    </xdr:to>
    <xdr:grpSp>
      <xdr:nvGrpSpPr>
        <xdr:cNvPr id="145" name="Agrupar 144">
          <a:extLst>
            <a:ext uri="{FF2B5EF4-FFF2-40B4-BE49-F238E27FC236}">
              <a16:creationId xmlns:a16="http://schemas.microsoft.com/office/drawing/2014/main" id="{F5D719D9-33FB-3668-D66E-34FF89693245}"/>
            </a:ext>
          </a:extLst>
        </xdr:cNvPr>
        <xdr:cNvGrpSpPr/>
      </xdr:nvGrpSpPr>
      <xdr:grpSpPr>
        <a:xfrm>
          <a:off x="3690828" y="6655305"/>
          <a:ext cx="1442115" cy="287999"/>
          <a:chOff x="16647428" y="1500187"/>
          <a:chExt cx="981112" cy="294818"/>
        </a:xfrm>
      </xdr:grpSpPr>
      <xdr:sp macro="" textlink="">
        <xdr:nvSpPr>
          <xdr:cNvPr id="261" name="Retângulo: Cantos Arredondados 260">
            <a:extLst>
              <a:ext uri="{FF2B5EF4-FFF2-40B4-BE49-F238E27FC236}">
                <a16:creationId xmlns:a16="http://schemas.microsoft.com/office/drawing/2014/main" id="{26110D33-A5C5-BC45-5D17-1243F0186CAC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2" name="Retângulo: Cantos Arredondados 261">
            <a:extLst>
              <a:ext uri="{FF2B5EF4-FFF2-40B4-BE49-F238E27FC236}">
                <a16:creationId xmlns:a16="http://schemas.microsoft.com/office/drawing/2014/main" id="{424D2B09-F963-EC4D-BC8D-042C7D8623BA}"/>
              </a:ext>
            </a:extLst>
          </xdr:cNvPr>
          <xdr:cNvSpPr/>
        </xdr:nvSpPr>
        <xdr:spPr>
          <a:xfrm>
            <a:off x="16647428" y="1500187"/>
            <a:ext cx="953168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Conjunto</a:t>
            </a:r>
          </a:p>
        </xdr:txBody>
      </xdr:sp>
    </xdr:grpSp>
    <xdr:clientData/>
  </xdr:twoCellAnchor>
  <xdr:twoCellAnchor>
    <xdr:from>
      <xdr:col>6</xdr:col>
      <xdr:colOff>60121</xdr:colOff>
      <xdr:row>36</xdr:row>
      <xdr:rowOff>100967</xdr:rowOff>
    </xdr:from>
    <xdr:to>
      <xdr:col>8</xdr:col>
      <xdr:colOff>292001</xdr:colOff>
      <xdr:row>37</xdr:row>
      <xdr:rowOff>176055</xdr:rowOff>
    </xdr:to>
    <xdr:grpSp>
      <xdr:nvGrpSpPr>
        <xdr:cNvPr id="147" name="Agrupar 146">
          <a:extLst>
            <a:ext uri="{FF2B5EF4-FFF2-40B4-BE49-F238E27FC236}">
              <a16:creationId xmlns:a16="http://schemas.microsoft.com/office/drawing/2014/main" id="{69C3CBD1-7A1A-3933-CA4F-7612244D8EEC}"/>
            </a:ext>
          </a:extLst>
        </xdr:cNvPr>
        <xdr:cNvGrpSpPr/>
      </xdr:nvGrpSpPr>
      <xdr:grpSpPr>
        <a:xfrm>
          <a:off x="3690827" y="7138261"/>
          <a:ext cx="1442115" cy="288000"/>
          <a:chOff x="16647429" y="1500187"/>
          <a:chExt cx="981111" cy="294818"/>
        </a:xfrm>
      </xdr:grpSpPr>
      <xdr:sp macro="" textlink="">
        <xdr:nvSpPr>
          <xdr:cNvPr id="259" name="Retângulo: Cantos Arredondados 258">
            <a:extLst>
              <a:ext uri="{FF2B5EF4-FFF2-40B4-BE49-F238E27FC236}">
                <a16:creationId xmlns:a16="http://schemas.microsoft.com/office/drawing/2014/main" id="{C1695EDB-D04A-14AF-65A9-00CD0005DBC7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0" name="Retângulo: Cantos Arredondados 259">
            <a:extLst>
              <a:ext uri="{FF2B5EF4-FFF2-40B4-BE49-F238E27FC236}">
                <a16:creationId xmlns:a16="http://schemas.microsoft.com/office/drawing/2014/main" id="{3244FCCA-55FE-F906-B29F-C6A05E870795}"/>
              </a:ext>
            </a:extLst>
          </xdr:cNvPr>
          <xdr:cNvSpPr/>
        </xdr:nvSpPr>
        <xdr:spPr>
          <a:xfrm>
            <a:off x="16647429" y="1500187"/>
            <a:ext cx="95606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Defeito</a:t>
            </a:r>
          </a:p>
        </xdr:txBody>
      </xdr:sp>
    </xdr:grpSp>
    <xdr:clientData/>
  </xdr:twoCellAnchor>
  <xdr:twoCellAnchor>
    <xdr:from>
      <xdr:col>12</xdr:col>
      <xdr:colOff>493566</xdr:colOff>
      <xdr:row>35</xdr:row>
      <xdr:rowOff>7948</xdr:rowOff>
    </xdr:from>
    <xdr:to>
      <xdr:col>16</xdr:col>
      <xdr:colOff>127001</xdr:colOff>
      <xdr:row>36</xdr:row>
      <xdr:rowOff>105842</xdr:rowOff>
    </xdr:to>
    <xdr:grpSp>
      <xdr:nvGrpSpPr>
        <xdr:cNvPr id="149" name="Agrupar 148">
          <a:extLst>
            <a:ext uri="{FF2B5EF4-FFF2-40B4-BE49-F238E27FC236}">
              <a16:creationId xmlns:a16="http://schemas.microsoft.com/office/drawing/2014/main" id="{CC251169-0CAC-F92B-4517-1217579ECEA7}"/>
            </a:ext>
          </a:extLst>
        </xdr:cNvPr>
        <xdr:cNvGrpSpPr/>
      </xdr:nvGrpSpPr>
      <xdr:grpSpPr>
        <a:xfrm>
          <a:off x="7754978" y="6832330"/>
          <a:ext cx="2053905" cy="310806"/>
          <a:chOff x="16647429" y="1500187"/>
          <a:chExt cx="981111" cy="294818"/>
        </a:xfrm>
      </xdr:grpSpPr>
      <xdr:sp macro="" textlink="">
        <xdr:nvSpPr>
          <xdr:cNvPr id="254" name="Retângulo: Cantos Arredondados 253">
            <a:extLst>
              <a:ext uri="{FF2B5EF4-FFF2-40B4-BE49-F238E27FC236}">
                <a16:creationId xmlns:a16="http://schemas.microsoft.com/office/drawing/2014/main" id="{0C3473D8-5232-079D-B054-D604F973CB6C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6" name="Retângulo: Cantos Arredondados 255">
            <a:extLst>
              <a:ext uri="{FF2B5EF4-FFF2-40B4-BE49-F238E27FC236}">
                <a16:creationId xmlns:a16="http://schemas.microsoft.com/office/drawing/2014/main" id="{90AB391D-8BC6-D135-5609-75A9F65F8BDA}"/>
              </a:ext>
            </a:extLst>
          </xdr:cNvPr>
          <xdr:cNvSpPr/>
        </xdr:nvSpPr>
        <xdr:spPr>
          <a:xfrm>
            <a:off x="16647429" y="1500187"/>
            <a:ext cx="969249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12</xdr:col>
      <xdr:colOff>522207</xdr:colOff>
      <xdr:row>37</xdr:row>
      <xdr:rowOff>84908</xdr:rowOff>
    </xdr:from>
    <xdr:to>
      <xdr:col>14</xdr:col>
      <xdr:colOff>296835</xdr:colOff>
      <xdr:row>38</xdr:row>
      <xdr:rowOff>173276</xdr:rowOff>
    </xdr:to>
    <xdr:grpSp>
      <xdr:nvGrpSpPr>
        <xdr:cNvPr id="150" name="Agrupar 149">
          <a:extLst>
            <a:ext uri="{FF2B5EF4-FFF2-40B4-BE49-F238E27FC236}">
              <a16:creationId xmlns:a16="http://schemas.microsoft.com/office/drawing/2014/main" id="{09F5E8B7-D235-2C61-BB66-E7E532A26C49}"/>
            </a:ext>
          </a:extLst>
        </xdr:cNvPr>
        <xdr:cNvGrpSpPr/>
      </xdr:nvGrpSpPr>
      <xdr:grpSpPr>
        <a:xfrm>
          <a:off x="7783619" y="7335114"/>
          <a:ext cx="984863" cy="301280"/>
          <a:chOff x="16647427" y="1500187"/>
          <a:chExt cx="985234" cy="294818"/>
        </a:xfrm>
      </xdr:grpSpPr>
      <xdr:sp macro="" textlink="">
        <xdr:nvSpPr>
          <xdr:cNvPr id="251" name="Retângulo: Cantos Arredondados 250">
            <a:extLst>
              <a:ext uri="{FF2B5EF4-FFF2-40B4-BE49-F238E27FC236}">
                <a16:creationId xmlns:a16="http://schemas.microsoft.com/office/drawing/2014/main" id="{DF8376CF-E0E7-1307-85B4-C161916606AA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3" name="Retângulo: Cantos Arredondados 252">
            <a:extLst>
              <a:ext uri="{FF2B5EF4-FFF2-40B4-BE49-F238E27FC236}">
                <a16:creationId xmlns:a16="http://schemas.microsoft.com/office/drawing/2014/main" id="{C7FB04D7-1731-4740-75A9-334F7B653AE3}"/>
              </a:ext>
            </a:extLst>
          </xdr:cNvPr>
          <xdr:cNvSpPr/>
        </xdr:nvSpPr>
        <xdr:spPr>
          <a:xfrm>
            <a:off x="16647427" y="1500187"/>
            <a:ext cx="98523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Xícaras</a:t>
            </a:r>
          </a:p>
        </xdr:txBody>
      </xdr:sp>
    </xdr:grpSp>
    <xdr:clientData/>
  </xdr:twoCellAnchor>
  <xdr:twoCellAnchor>
    <xdr:from>
      <xdr:col>12</xdr:col>
      <xdr:colOff>545785</xdr:colOff>
      <xdr:row>41</xdr:row>
      <xdr:rowOff>208866</xdr:rowOff>
    </xdr:from>
    <xdr:to>
      <xdr:col>16</xdr:col>
      <xdr:colOff>35522</xdr:colOff>
      <xdr:row>43</xdr:row>
      <xdr:rowOff>142705</xdr:rowOff>
    </xdr:to>
    <xdr:grpSp>
      <xdr:nvGrpSpPr>
        <xdr:cNvPr id="151" name="Agrupar 150">
          <a:extLst>
            <a:ext uri="{FF2B5EF4-FFF2-40B4-BE49-F238E27FC236}">
              <a16:creationId xmlns:a16="http://schemas.microsoft.com/office/drawing/2014/main" id="{61D554F8-B98F-045A-59DC-56629142D2CE}"/>
            </a:ext>
          </a:extLst>
        </xdr:cNvPr>
        <xdr:cNvGrpSpPr/>
      </xdr:nvGrpSpPr>
      <xdr:grpSpPr>
        <a:xfrm>
          <a:off x="7807197" y="8310719"/>
          <a:ext cx="1910207" cy="337251"/>
          <a:chOff x="16647429" y="1500187"/>
          <a:chExt cx="989712" cy="294818"/>
        </a:xfrm>
      </xdr:grpSpPr>
      <xdr:sp macro="" textlink="">
        <xdr:nvSpPr>
          <xdr:cNvPr id="247" name="Retângulo: Cantos Arredondados 246">
            <a:extLst>
              <a:ext uri="{FF2B5EF4-FFF2-40B4-BE49-F238E27FC236}">
                <a16:creationId xmlns:a16="http://schemas.microsoft.com/office/drawing/2014/main" id="{8119A6E8-88EB-6453-4AD9-E9CFC7D11463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0" name="Retângulo: Cantos Arredondados 249">
            <a:extLst>
              <a:ext uri="{FF2B5EF4-FFF2-40B4-BE49-F238E27FC236}">
                <a16:creationId xmlns:a16="http://schemas.microsoft.com/office/drawing/2014/main" id="{D8693E28-1ED9-120A-5DEC-CB90EB3B2B77}"/>
              </a:ext>
            </a:extLst>
          </xdr:cNvPr>
          <xdr:cNvSpPr/>
        </xdr:nvSpPr>
        <xdr:spPr>
          <a:xfrm>
            <a:off x="16647429" y="1500187"/>
            <a:ext cx="98971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Defeito </a:t>
            </a:r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Sensorial</a:t>
            </a:r>
          </a:p>
        </xdr:txBody>
      </xdr:sp>
    </xdr:grpSp>
    <xdr:clientData/>
  </xdr:twoCellAnchor>
  <xdr:twoCellAnchor>
    <xdr:from>
      <xdr:col>14</xdr:col>
      <xdr:colOff>453422</xdr:colOff>
      <xdr:row>37</xdr:row>
      <xdr:rowOff>93367</xdr:rowOff>
    </xdr:from>
    <xdr:to>
      <xdr:col>16</xdr:col>
      <xdr:colOff>56264</xdr:colOff>
      <xdr:row>38</xdr:row>
      <xdr:rowOff>171222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4907711-5D47-A314-7CD3-A0A3313D4241}"/>
            </a:ext>
          </a:extLst>
        </xdr:cNvPr>
        <xdr:cNvSpPr/>
      </xdr:nvSpPr>
      <xdr:spPr>
        <a:xfrm>
          <a:off x="8925069" y="7029808"/>
          <a:ext cx="813077" cy="29076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56313</xdr:colOff>
      <xdr:row>49</xdr:row>
      <xdr:rowOff>20799</xdr:rowOff>
    </xdr:from>
    <xdr:to>
      <xdr:col>4</xdr:col>
      <xdr:colOff>282477</xdr:colOff>
      <xdr:row>50</xdr:row>
      <xdr:rowOff>129505</xdr:rowOff>
    </xdr:to>
    <xdr:grpSp>
      <xdr:nvGrpSpPr>
        <xdr:cNvPr id="160" name="Agrupar 159">
          <a:extLst>
            <a:ext uri="{FF2B5EF4-FFF2-40B4-BE49-F238E27FC236}">
              <a16:creationId xmlns:a16="http://schemas.microsoft.com/office/drawing/2014/main" id="{B9B4757F-315D-13FA-4AD7-BFFBD42B95D7}"/>
            </a:ext>
          </a:extLst>
        </xdr:cNvPr>
        <xdr:cNvGrpSpPr/>
      </xdr:nvGrpSpPr>
      <xdr:grpSpPr>
        <a:xfrm>
          <a:off x="1266548" y="9669064"/>
          <a:ext cx="1436400" cy="299206"/>
          <a:chOff x="16647428" y="1500187"/>
          <a:chExt cx="981112" cy="294818"/>
        </a:xfrm>
      </xdr:grpSpPr>
      <xdr:sp macro="" textlink="">
        <xdr:nvSpPr>
          <xdr:cNvPr id="220" name="Retângulo: Cantos Arredondados 219">
            <a:extLst>
              <a:ext uri="{FF2B5EF4-FFF2-40B4-BE49-F238E27FC236}">
                <a16:creationId xmlns:a16="http://schemas.microsoft.com/office/drawing/2014/main" id="{5FFDB0D7-3234-201D-CDAF-B07CB1624DFF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1" name="Retângulo: Cantos Arredondados 220">
            <a:extLst>
              <a:ext uri="{FF2B5EF4-FFF2-40B4-BE49-F238E27FC236}">
                <a16:creationId xmlns:a16="http://schemas.microsoft.com/office/drawing/2014/main" id="{ACFEBA23-B036-03AE-7397-275E928308ED}"/>
              </a:ext>
            </a:extLst>
          </xdr:cNvPr>
          <xdr:cNvSpPr/>
        </xdr:nvSpPr>
        <xdr:spPr>
          <a:xfrm>
            <a:off x="16647428" y="1500187"/>
            <a:ext cx="968337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Uniformidade</a:t>
            </a:r>
          </a:p>
        </xdr:txBody>
      </xdr:sp>
    </xdr:grpSp>
    <xdr:clientData/>
  </xdr:twoCellAnchor>
  <xdr:twoCellAnchor>
    <xdr:from>
      <xdr:col>12</xdr:col>
      <xdr:colOff>494960</xdr:colOff>
      <xdr:row>32</xdr:row>
      <xdr:rowOff>124747</xdr:rowOff>
    </xdr:from>
    <xdr:to>
      <xdr:col>16</xdr:col>
      <xdr:colOff>130300</xdr:colOff>
      <xdr:row>34</xdr:row>
      <xdr:rowOff>6864</xdr:rowOff>
    </xdr:to>
    <xdr:grpSp>
      <xdr:nvGrpSpPr>
        <xdr:cNvPr id="161" name="Agrupar 160">
          <a:extLst>
            <a:ext uri="{FF2B5EF4-FFF2-40B4-BE49-F238E27FC236}">
              <a16:creationId xmlns:a16="http://schemas.microsoft.com/office/drawing/2014/main" id="{8E21F3B3-88FB-D030-B27A-26EF93C89D86}"/>
            </a:ext>
          </a:extLst>
        </xdr:cNvPr>
        <xdr:cNvGrpSpPr/>
      </xdr:nvGrpSpPr>
      <xdr:grpSpPr>
        <a:xfrm>
          <a:off x="7756372" y="6310394"/>
          <a:ext cx="2055810" cy="307941"/>
          <a:chOff x="16650264" y="1500187"/>
          <a:chExt cx="978276" cy="295678"/>
        </a:xfrm>
      </xdr:grpSpPr>
      <xdr:sp macro="" textlink="">
        <xdr:nvSpPr>
          <xdr:cNvPr id="218" name="Retângulo: Cantos Arredondados 217">
            <a:extLst>
              <a:ext uri="{FF2B5EF4-FFF2-40B4-BE49-F238E27FC236}">
                <a16:creationId xmlns:a16="http://schemas.microsoft.com/office/drawing/2014/main" id="{A7E70616-72B0-5154-38B7-58DF510658CB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9" name="Retângulo: Cantos Arredondados 218">
            <a:extLst>
              <a:ext uri="{FF2B5EF4-FFF2-40B4-BE49-F238E27FC236}">
                <a16:creationId xmlns:a16="http://schemas.microsoft.com/office/drawing/2014/main" id="{F9861593-D9EA-8AE0-2447-837CF8940C4A}"/>
              </a:ext>
            </a:extLst>
          </xdr:cNvPr>
          <xdr:cNvSpPr/>
        </xdr:nvSpPr>
        <xdr:spPr>
          <a:xfrm>
            <a:off x="16650264" y="1500780"/>
            <a:ext cx="966972" cy="29508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Bebida</a:t>
            </a:r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</a:p>
        </xdr:txBody>
      </xdr:sp>
    </xdr:grpSp>
    <xdr:clientData/>
  </xdr:twoCellAnchor>
  <xdr:twoCellAnchor>
    <xdr:from>
      <xdr:col>2</xdr:col>
      <xdr:colOff>60317</xdr:colOff>
      <xdr:row>36</xdr:row>
      <xdr:rowOff>98316</xdr:rowOff>
    </xdr:from>
    <xdr:to>
      <xdr:col>4</xdr:col>
      <xdr:colOff>286481</xdr:colOff>
      <xdr:row>37</xdr:row>
      <xdr:rowOff>173404</xdr:rowOff>
    </xdr:to>
    <xdr:grpSp>
      <xdr:nvGrpSpPr>
        <xdr:cNvPr id="163" name="Agrupar 162">
          <a:extLst>
            <a:ext uri="{FF2B5EF4-FFF2-40B4-BE49-F238E27FC236}">
              <a16:creationId xmlns:a16="http://schemas.microsoft.com/office/drawing/2014/main" id="{6ED2C73E-1B6E-9FA2-6BFB-A01346B80ECB}"/>
            </a:ext>
          </a:extLst>
        </xdr:cNvPr>
        <xdr:cNvGrpSpPr/>
      </xdr:nvGrpSpPr>
      <xdr:grpSpPr>
        <a:xfrm>
          <a:off x="1270552" y="7135610"/>
          <a:ext cx="1436400" cy="288000"/>
          <a:chOff x="16647428" y="1500187"/>
          <a:chExt cx="981111" cy="294818"/>
        </a:xfrm>
      </xdr:grpSpPr>
      <xdr:sp macro="" textlink="">
        <xdr:nvSpPr>
          <xdr:cNvPr id="216" name="Retângulo: Cantos Arredondados 215">
            <a:extLst>
              <a:ext uri="{FF2B5EF4-FFF2-40B4-BE49-F238E27FC236}">
                <a16:creationId xmlns:a16="http://schemas.microsoft.com/office/drawing/2014/main" id="{738CA88B-5D8E-7644-085E-94369EF724A5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7" name="Retângulo: Cantos Arredondados 216">
            <a:extLst>
              <a:ext uri="{FF2B5EF4-FFF2-40B4-BE49-F238E27FC236}">
                <a16:creationId xmlns:a16="http://schemas.microsoft.com/office/drawing/2014/main" id="{17F81B74-8BB7-41EC-6405-0B4BEDA79F4D}"/>
              </a:ext>
            </a:extLst>
          </xdr:cNvPr>
          <xdr:cNvSpPr/>
        </xdr:nvSpPr>
        <xdr:spPr>
          <a:xfrm>
            <a:off x="16647428" y="1500187"/>
            <a:ext cx="961837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Sabor</a:t>
            </a:r>
          </a:p>
        </xdr:txBody>
      </xdr:sp>
    </xdr:grpSp>
    <xdr:clientData/>
  </xdr:twoCellAnchor>
  <xdr:twoCellAnchor>
    <xdr:from>
      <xdr:col>2</xdr:col>
      <xdr:colOff>38131</xdr:colOff>
      <xdr:row>38</xdr:row>
      <xdr:rowOff>150879</xdr:rowOff>
    </xdr:from>
    <xdr:to>
      <xdr:col>4</xdr:col>
      <xdr:colOff>264295</xdr:colOff>
      <xdr:row>40</xdr:row>
      <xdr:rowOff>13056</xdr:rowOff>
    </xdr:to>
    <xdr:grpSp>
      <xdr:nvGrpSpPr>
        <xdr:cNvPr id="164" name="Agrupar 163">
          <a:extLst>
            <a:ext uri="{FF2B5EF4-FFF2-40B4-BE49-F238E27FC236}">
              <a16:creationId xmlns:a16="http://schemas.microsoft.com/office/drawing/2014/main" id="{B569F41A-E630-B907-5662-0B1C2BB166C9}"/>
            </a:ext>
          </a:extLst>
        </xdr:cNvPr>
        <xdr:cNvGrpSpPr/>
      </xdr:nvGrpSpPr>
      <xdr:grpSpPr>
        <a:xfrm>
          <a:off x="1248366" y="7613997"/>
          <a:ext cx="1436400" cy="288000"/>
          <a:chOff x="16647428" y="1500187"/>
          <a:chExt cx="988404" cy="294818"/>
        </a:xfrm>
      </xdr:grpSpPr>
      <xdr:sp macro="" textlink="">
        <xdr:nvSpPr>
          <xdr:cNvPr id="202" name="Retângulo: Cantos Arredondados 201">
            <a:extLst>
              <a:ext uri="{FF2B5EF4-FFF2-40B4-BE49-F238E27FC236}">
                <a16:creationId xmlns:a16="http://schemas.microsoft.com/office/drawing/2014/main" id="{F4BDAC2B-F28E-9236-7B7E-10475006AB74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3" name="Retângulo: Cantos Arredondados 202">
            <a:extLst>
              <a:ext uri="{FF2B5EF4-FFF2-40B4-BE49-F238E27FC236}">
                <a16:creationId xmlns:a16="http://schemas.microsoft.com/office/drawing/2014/main" id="{BC68A6FB-538F-FA6E-DB4E-12481AAF8D66}"/>
              </a:ext>
            </a:extLst>
          </xdr:cNvPr>
          <xdr:cNvSpPr/>
        </xdr:nvSpPr>
        <xdr:spPr>
          <a:xfrm>
            <a:off x="16647428" y="1500187"/>
            <a:ext cx="98840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Retrogosto</a:t>
            </a:r>
          </a:p>
        </xdr:txBody>
      </xdr:sp>
    </xdr:grpSp>
    <xdr:clientData/>
  </xdr:twoCellAnchor>
  <xdr:twoCellAnchor>
    <xdr:from>
      <xdr:col>2</xdr:col>
      <xdr:colOff>38130</xdr:colOff>
      <xdr:row>41</xdr:row>
      <xdr:rowOff>20565</xdr:rowOff>
    </xdr:from>
    <xdr:to>
      <xdr:col>4</xdr:col>
      <xdr:colOff>264294</xdr:colOff>
      <xdr:row>42</xdr:row>
      <xdr:rowOff>95653</xdr:rowOff>
    </xdr:to>
    <xdr:grpSp>
      <xdr:nvGrpSpPr>
        <xdr:cNvPr id="165" name="Agrupar 164">
          <a:extLst>
            <a:ext uri="{FF2B5EF4-FFF2-40B4-BE49-F238E27FC236}">
              <a16:creationId xmlns:a16="http://schemas.microsoft.com/office/drawing/2014/main" id="{DC8B6ABA-066E-5692-0EF0-C2CCE6E34DF8}"/>
            </a:ext>
          </a:extLst>
        </xdr:cNvPr>
        <xdr:cNvGrpSpPr/>
      </xdr:nvGrpSpPr>
      <xdr:grpSpPr>
        <a:xfrm>
          <a:off x="1248365" y="8122418"/>
          <a:ext cx="1436400" cy="288000"/>
          <a:chOff x="16647428" y="1500187"/>
          <a:chExt cx="998533" cy="294818"/>
        </a:xfrm>
      </xdr:grpSpPr>
      <xdr:sp macro="" textlink="">
        <xdr:nvSpPr>
          <xdr:cNvPr id="194" name="Retângulo: Cantos Arredondados 193">
            <a:extLst>
              <a:ext uri="{FF2B5EF4-FFF2-40B4-BE49-F238E27FC236}">
                <a16:creationId xmlns:a16="http://schemas.microsoft.com/office/drawing/2014/main" id="{D61480B4-2AB5-0929-9B6A-CD7ED87CC45A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5" name="Retângulo: Cantos Arredondados 194">
            <a:extLst>
              <a:ext uri="{FF2B5EF4-FFF2-40B4-BE49-F238E27FC236}">
                <a16:creationId xmlns:a16="http://schemas.microsoft.com/office/drawing/2014/main" id="{3EDFD7DF-51DC-4CB7-465F-2ECA6EA02A48}"/>
              </a:ext>
            </a:extLst>
          </xdr:cNvPr>
          <xdr:cNvSpPr/>
        </xdr:nvSpPr>
        <xdr:spPr>
          <a:xfrm>
            <a:off x="16647428" y="1500187"/>
            <a:ext cx="99853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Salinidade/Acidez</a:t>
            </a:r>
          </a:p>
        </xdr:txBody>
      </xdr:sp>
    </xdr:grpSp>
    <xdr:clientData/>
  </xdr:twoCellAnchor>
  <xdr:twoCellAnchor>
    <xdr:from>
      <xdr:col>2</xdr:col>
      <xdr:colOff>38148</xdr:colOff>
      <xdr:row>43</xdr:row>
      <xdr:rowOff>113921</xdr:rowOff>
    </xdr:from>
    <xdr:to>
      <xdr:col>4</xdr:col>
      <xdr:colOff>264312</xdr:colOff>
      <xdr:row>45</xdr:row>
      <xdr:rowOff>43333</xdr:rowOff>
    </xdr:to>
    <xdr:grpSp>
      <xdr:nvGrpSpPr>
        <xdr:cNvPr id="166" name="Agrupar 165">
          <a:extLst>
            <a:ext uri="{FF2B5EF4-FFF2-40B4-BE49-F238E27FC236}">
              <a16:creationId xmlns:a16="http://schemas.microsoft.com/office/drawing/2014/main" id="{AA67B22B-B27E-0D9C-F915-70CB5C492867}"/>
            </a:ext>
          </a:extLst>
        </xdr:cNvPr>
        <xdr:cNvGrpSpPr/>
      </xdr:nvGrpSpPr>
      <xdr:grpSpPr>
        <a:xfrm>
          <a:off x="1248383" y="8619186"/>
          <a:ext cx="1436400" cy="310412"/>
          <a:chOff x="16647427" y="1500187"/>
          <a:chExt cx="988089" cy="294818"/>
        </a:xfrm>
      </xdr:grpSpPr>
      <xdr:sp macro="" textlink="">
        <xdr:nvSpPr>
          <xdr:cNvPr id="186" name="Retângulo: Cantos Arredondados 185">
            <a:extLst>
              <a:ext uri="{FF2B5EF4-FFF2-40B4-BE49-F238E27FC236}">
                <a16:creationId xmlns:a16="http://schemas.microsoft.com/office/drawing/2014/main" id="{85203D8B-01EC-ECFF-63E0-17D67F9A550D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3" name="Retângulo: Cantos Arredondados 192">
            <a:extLst>
              <a:ext uri="{FF2B5EF4-FFF2-40B4-BE49-F238E27FC236}">
                <a16:creationId xmlns:a16="http://schemas.microsoft.com/office/drawing/2014/main" id="{A3F60D47-441D-B7A0-924D-D1FDB1BBFAAC}"/>
              </a:ext>
            </a:extLst>
          </xdr:cNvPr>
          <xdr:cNvSpPr/>
        </xdr:nvSpPr>
        <xdr:spPr>
          <a:xfrm>
            <a:off x="16647427" y="1500187"/>
            <a:ext cx="988089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Amargor /Doçura</a:t>
            </a:r>
          </a:p>
        </xdr:txBody>
      </xdr:sp>
    </xdr:grpSp>
    <xdr:clientData/>
  </xdr:twoCellAnchor>
  <xdr:twoCellAnchor>
    <xdr:from>
      <xdr:col>2</xdr:col>
      <xdr:colOff>38137</xdr:colOff>
      <xdr:row>31</xdr:row>
      <xdr:rowOff>150290</xdr:rowOff>
    </xdr:from>
    <xdr:to>
      <xdr:col>4</xdr:col>
      <xdr:colOff>264301</xdr:colOff>
      <xdr:row>33</xdr:row>
      <xdr:rowOff>12467</xdr:rowOff>
    </xdr:to>
    <xdr:grpSp>
      <xdr:nvGrpSpPr>
        <xdr:cNvPr id="167" name="Agrupar 166">
          <a:extLst>
            <a:ext uri="{FF2B5EF4-FFF2-40B4-BE49-F238E27FC236}">
              <a16:creationId xmlns:a16="http://schemas.microsoft.com/office/drawing/2014/main" id="{9BCFF4B1-3920-3509-20B2-7A25293AC634}"/>
            </a:ext>
          </a:extLst>
        </xdr:cNvPr>
        <xdr:cNvGrpSpPr/>
      </xdr:nvGrpSpPr>
      <xdr:grpSpPr>
        <a:xfrm>
          <a:off x="1248372" y="6123025"/>
          <a:ext cx="1436400" cy="288001"/>
          <a:chOff x="16647428" y="1500187"/>
          <a:chExt cx="985001" cy="294818"/>
        </a:xfrm>
      </xdr:grpSpPr>
      <xdr:sp macro="" textlink="">
        <xdr:nvSpPr>
          <xdr:cNvPr id="181" name="Retângulo: Cantos Arredondados 180">
            <a:extLst>
              <a:ext uri="{FF2B5EF4-FFF2-40B4-BE49-F238E27FC236}">
                <a16:creationId xmlns:a16="http://schemas.microsoft.com/office/drawing/2014/main" id="{738F48C4-9766-95C5-7C3E-2A15373ECC08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4" name="Retângulo: Cantos Arredondados 183">
            <a:extLst>
              <a:ext uri="{FF2B5EF4-FFF2-40B4-BE49-F238E27FC236}">
                <a16:creationId xmlns:a16="http://schemas.microsoft.com/office/drawing/2014/main" id="{AEA11B73-70C9-7D48-D287-D765D00183D4}"/>
              </a:ext>
            </a:extLst>
          </xdr:cNvPr>
          <xdr:cNvSpPr/>
        </xdr:nvSpPr>
        <xdr:spPr>
          <a:xfrm>
            <a:off x="16647428" y="1500187"/>
            <a:ext cx="98500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Grau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de Torra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38143</xdr:colOff>
      <xdr:row>34</xdr:row>
      <xdr:rowOff>19977</xdr:rowOff>
    </xdr:from>
    <xdr:to>
      <xdr:col>4</xdr:col>
      <xdr:colOff>264307</xdr:colOff>
      <xdr:row>35</xdr:row>
      <xdr:rowOff>95065</xdr:rowOff>
    </xdr:to>
    <xdr:grpSp>
      <xdr:nvGrpSpPr>
        <xdr:cNvPr id="168" name="Agrupar 167">
          <a:extLst>
            <a:ext uri="{FF2B5EF4-FFF2-40B4-BE49-F238E27FC236}">
              <a16:creationId xmlns:a16="http://schemas.microsoft.com/office/drawing/2014/main" id="{E51270B8-73D2-2D9E-3E1B-B0A97C2FE865}"/>
            </a:ext>
          </a:extLst>
        </xdr:cNvPr>
        <xdr:cNvGrpSpPr/>
      </xdr:nvGrpSpPr>
      <xdr:grpSpPr>
        <a:xfrm>
          <a:off x="1248378" y="6631448"/>
          <a:ext cx="1436400" cy="287999"/>
          <a:chOff x="16647428" y="1500187"/>
          <a:chExt cx="981111" cy="294818"/>
        </a:xfrm>
      </xdr:grpSpPr>
      <xdr:sp macro="" textlink="">
        <xdr:nvSpPr>
          <xdr:cNvPr id="176" name="Retângulo: Cantos Arredondados 175">
            <a:extLst>
              <a:ext uri="{FF2B5EF4-FFF2-40B4-BE49-F238E27FC236}">
                <a16:creationId xmlns:a16="http://schemas.microsoft.com/office/drawing/2014/main" id="{358AD96A-A6A9-480A-4E1B-46BD7E696B5D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7" name="Retângulo: Cantos Arredondados 176">
            <a:extLst>
              <a:ext uri="{FF2B5EF4-FFF2-40B4-BE49-F238E27FC236}">
                <a16:creationId xmlns:a16="http://schemas.microsoft.com/office/drawing/2014/main" id="{6EEF0983-3194-ABD8-F378-665EC374CAE6}"/>
              </a:ext>
            </a:extLst>
          </xdr:cNvPr>
          <xdr:cNvSpPr/>
        </xdr:nvSpPr>
        <xdr:spPr>
          <a:xfrm>
            <a:off x="16647428" y="1500187"/>
            <a:ext cx="97444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Fragancia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/ Aroma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38137</xdr:colOff>
      <xdr:row>29</xdr:row>
      <xdr:rowOff>79125</xdr:rowOff>
    </xdr:from>
    <xdr:to>
      <xdr:col>3</xdr:col>
      <xdr:colOff>28997</xdr:colOff>
      <xdr:row>30</xdr:row>
      <xdr:rowOff>154213</xdr:rowOff>
    </xdr:to>
    <xdr:grpSp>
      <xdr:nvGrpSpPr>
        <xdr:cNvPr id="169" name="Agrupar 168">
          <a:extLst>
            <a:ext uri="{FF2B5EF4-FFF2-40B4-BE49-F238E27FC236}">
              <a16:creationId xmlns:a16="http://schemas.microsoft.com/office/drawing/2014/main" id="{044936C8-F3C6-565B-014C-8120A5628D6E}"/>
            </a:ext>
          </a:extLst>
        </xdr:cNvPr>
        <xdr:cNvGrpSpPr/>
      </xdr:nvGrpSpPr>
      <xdr:grpSpPr>
        <a:xfrm>
          <a:off x="1248372" y="5626037"/>
          <a:ext cx="595978" cy="288000"/>
          <a:chOff x="16647428" y="1500187"/>
          <a:chExt cx="1044224" cy="294818"/>
        </a:xfrm>
      </xdr:grpSpPr>
      <xdr:sp macro="" textlink="">
        <xdr:nvSpPr>
          <xdr:cNvPr id="173" name="Retângulo: Cantos Arredondados 172">
            <a:extLst>
              <a:ext uri="{FF2B5EF4-FFF2-40B4-BE49-F238E27FC236}">
                <a16:creationId xmlns:a16="http://schemas.microsoft.com/office/drawing/2014/main" id="{25AAD070-D74F-A5ED-F914-0DB486DE2117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5" name="Retângulo: Cantos Arredondados 174">
            <a:extLst>
              <a:ext uri="{FF2B5EF4-FFF2-40B4-BE49-F238E27FC236}">
                <a16:creationId xmlns:a16="http://schemas.microsoft.com/office/drawing/2014/main" id="{2443EF3F-487D-0F61-C173-1A9141584999}"/>
              </a:ext>
            </a:extLst>
          </xdr:cNvPr>
          <xdr:cNvSpPr/>
        </xdr:nvSpPr>
        <xdr:spPr>
          <a:xfrm>
            <a:off x="16647428" y="1500187"/>
            <a:ext cx="1044224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ID</a:t>
            </a:r>
          </a:p>
        </xdr:txBody>
      </xdr:sp>
    </xdr:grpSp>
    <xdr:clientData/>
  </xdr:twoCellAnchor>
  <xdr:twoCellAnchor>
    <xdr:from>
      <xdr:col>2</xdr:col>
      <xdr:colOff>38137</xdr:colOff>
      <xdr:row>46</xdr:row>
      <xdr:rowOff>73026</xdr:rowOff>
    </xdr:from>
    <xdr:to>
      <xdr:col>4</xdr:col>
      <xdr:colOff>264301</xdr:colOff>
      <xdr:row>48</xdr:row>
      <xdr:rowOff>2437</xdr:rowOff>
    </xdr:to>
    <xdr:grpSp>
      <xdr:nvGrpSpPr>
        <xdr:cNvPr id="170" name="Agrupar 169">
          <a:extLst>
            <a:ext uri="{FF2B5EF4-FFF2-40B4-BE49-F238E27FC236}">
              <a16:creationId xmlns:a16="http://schemas.microsoft.com/office/drawing/2014/main" id="{7187BE93-3908-311C-AC36-D76F6A2AE654}"/>
            </a:ext>
          </a:extLst>
        </xdr:cNvPr>
        <xdr:cNvGrpSpPr/>
      </xdr:nvGrpSpPr>
      <xdr:grpSpPr>
        <a:xfrm>
          <a:off x="1248372" y="9149791"/>
          <a:ext cx="1436400" cy="310411"/>
          <a:chOff x="16647429" y="1500187"/>
          <a:chExt cx="981110" cy="294818"/>
        </a:xfrm>
      </xdr:grpSpPr>
      <xdr:sp macro="" textlink="">
        <xdr:nvSpPr>
          <xdr:cNvPr id="171" name="Retângulo: Cantos Arredondados 170">
            <a:extLst>
              <a:ext uri="{FF2B5EF4-FFF2-40B4-BE49-F238E27FC236}">
                <a16:creationId xmlns:a16="http://schemas.microsoft.com/office/drawing/2014/main" id="{6F1EBC0F-C346-9242-F370-20D5F123E06F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2" name="Retângulo: Cantos Arredondados 171">
            <a:extLst>
              <a:ext uri="{FF2B5EF4-FFF2-40B4-BE49-F238E27FC236}">
                <a16:creationId xmlns:a16="http://schemas.microsoft.com/office/drawing/2014/main" id="{3105431B-DA8D-F66C-10B2-6B1596930F9C}"/>
              </a:ext>
            </a:extLst>
          </xdr:cNvPr>
          <xdr:cNvSpPr/>
        </xdr:nvSpPr>
        <xdr:spPr>
          <a:xfrm>
            <a:off x="16647429" y="1500187"/>
            <a:ext cx="966936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Sabor na boca</a:t>
            </a:r>
          </a:p>
        </xdr:txBody>
      </xdr:sp>
    </xdr:grpSp>
    <xdr:clientData/>
  </xdr:twoCellAnchor>
  <xdr:twoCellAnchor>
    <xdr:from>
      <xdr:col>12</xdr:col>
      <xdr:colOff>527181</xdr:colOff>
      <xdr:row>45</xdr:row>
      <xdr:rowOff>1251</xdr:rowOff>
    </xdr:from>
    <xdr:to>
      <xdr:col>15</xdr:col>
      <xdr:colOff>597864</xdr:colOff>
      <xdr:row>46</xdr:row>
      <xdr:rowOff>138477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FE9633F3-3DBD-4356-9282-6F4CD688F987}"/>
            </a:ext>
          </a:extLst>
        </xdr:cNvPr>
        <xdr:cNvGrpSpPr/>
      </xdr:nvGrpSpPr>
      <xdr:grpSpPr>
        <a:xfrm>
          <a:off x="7788593" y="8887516"/>
          <a:ext cx="1886036" cy="327726"/>
          <a:chOff x="16647429" y="1500187"/>
          <a:chExt cx="981111" cy="294818"/>
        </a:xfrm>
      </xdr:grpSpPr>
      <xdr:sp macro="" textlink="">
        <xdr:nvSpPr>
          <xdr:cNvPr id="77" name="Retângulo: Cantos Arredondados 76">
            <a:extLst>
              <a:ext uri="{FF2B5EF4-FFF2-40B4-BE49-F238E27FC236}">
                <a16:creationId xmlns:a16="http://schemas.microsoft.com/office/drawing/2014/main" id="{F51BCB72-FAD5-D2FB-1A86-CC8B236B2EA8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8" name="Retângulo: Cantos Arredondados 77">
            <a:extLst>
              <a:ext uri="{FF2B5EF4-FFF2-40B4-BE49-F238E27FC236}">
                <a16:creationId xmlns:a16="http://schemas.microsoft.com/office/drawing/2014/main" id="{ADAFCB91-AD73-358A-EC85-4D88711CB6EA}"/>
              </a:ext>
            </a:extLst>
          </xdr:cNvPr>
          <xdr:cNvSpPr/>
        </xdr:nvSpPr>
        <xdr:spPr>
          <a:xfrm>
            <a:off x="16647429" y="1500187"/>
            <a:ext cx="978065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6</xdr:col>
      <xdr:colOff>131181</xdr:colOff>
      <xdr:row>43</xdr:row>
      <xdr:rowOff>124596</xdr:rowOff>
    </xdr:from>
    <xdr:to>
      <xdr:col>9</xdr:col>
      <xdr:colOff>331828</xdr:colOff>
      <xdr:row>45</xdr:row>
      <xdr:rowOff>92053</xdr:rowOff>
    </xdr:to>
    <xdr:grpSp>
      <xdr:nvGrpSpPr>
        <xdr:cNvPr id="269" name="Agrupar 268">
          <a:extLst>
            <a:ext uri="{FF2B5EF4-FFF2-40B4-BE49-F238E27FC236}">
              <a16:creationId xmlns:a16="http://schemas.microsoft.com/office/drawing/2014/main" id="{3A73E6CE-FB4A-4992-8CC0-D3C69DBA65E3}"/>
            </a:ext>
          </a:extLst>
        </xdr:cNvPr>
        <xdr:cNvGrpSpPr/>
      </xdr:nvGrpSpPr>
      <xdr:grpSpPr>
        <a:xfrm>
          <a:off x="3761887" y="8629861"/>
          <a:ext cx="2016000" cy="348457"/>
          <a:chOff x="16647428" y="1500187"/>
          <a:chExt cx="981112" cy="294818"/>
        </a:xfrm>
      </xdr:grpSpPr>
      <xdr:sp macro="" textlink="">
        <xdr:nvSpPr>
          <xdr:cNvPr id="270" name="Retângulo: Cantos Arredondados 269">
            <a:extLst>
              <a:ext uri="{FF2B5EF4-FFF2-40B4-BE49-F238E27FC236}">
                <a16:creationId xmlns:a16="http://schemas.microsoft.com/office/drawing/2014/main" id="{575BE06A-2F07-C7A0-D694-5473A52141C8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1" name="Retângulo: Cantos Arredondados 270">
            <a:extLst>
              <a:ext uri="{FF2B5EF4-FFF2-40B4-BE49-F238E27FC236}">
                <a16:creationId xmlns:a16="http://schemas.microsoft.com/office/drawing/2014/main" id="{69AC3560-1462-A3B4-135A-2E7726E4051D}"/>
              </a:ext>
            </a:extLst>
          </xdr:cNvPr>
          <xdr:cNvSpPr/>
        </xdr:nvSpPr>
        <xdr:spPr>
          <a:xfrm>
            <a:off x="16647428" y="1500187"/>
            <a:ext cx="97454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7</xdr:col>
      <xdr:colOff>15257</xdr:colOff>
      <xdr:row>46</xdr:row>
      <xdr:rowOff>118656</xdr:rowOff>
    </xdr:from>
    <xdr:to>
      <xdr:col>8</xdr:col>
      <xdr:colOff>241004</xdr:colOff>
      <xdr:row>48</xdr:row>
      <xdr:rowOff>86112</xdr:rowOff>
    </xdr:to>
    <xdr:grpSp>
      <xdr:nvGrpSpPr>
        <xdr:cNvPr id="273" name="Agrupar 272">
          <a:extLst>
            <a:ext uri="{FF2B5EF4-FFF2-40B4-BE49-F238E27FC236}">
              <a16:creationId xmlns:a16="http://schemas.microsoft.com/office/drawing/2014/main" id="{B994B717-D1B5-4332-BDD8-C8D030B52ABB}"/>
            </a:ext>
          </a:extLst>
        </xdr:cNvPr>
        <xdr:cNvGrpSpPr/>
      </xdr:nvGrpSpPr>
      <xdr:grpSpPr>
        <a:xfrm>
          <a:off x="4251081" y="9195421"/>
          <a:ext cx="830864" cy="348456"/>
          <a:chOff x="16647428" y="1500187"/>
          <a:chExt cx="981112" cy="294818"/>
        </a:xfrm>
      </xdr:grpSpPr>
      <xdr:sp macro="" textlink="">
        <xdr:nvSpPr>
          <xdr:cNvPr id="274" name="Retângulo: Cantos Arredondados 273">
            <a:extLst>
              <a:ext uri="{FF2B5EF4-FFF2-40B4-BE49-F238E27FC236}">
                <a16:creationId xmlns:a16="http://schemas.microsoft.com/office/drawing/2014/main" id="{B7828E3A-3EED-CE5A-1160-9FEB053B1C18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9" name="Retângulo: Cantos Arredondados 298">
            <a:extLst>
              <a:ext uri="{FF2B5EF4-FFF2-40B4-BE49-F238E27FC236}">
                <a16:creationId xmlns:a16="http://schemas.microsoft.com/office/drawing/2014/main" id="{E7EC1BAD-0839-0AC9-8D9A-D469DDA07FAD}"/>
              </a:ext>
            </a:extLst>
          </xdr:cNvPr>
          <xdr:cNvSpPr/>
        </xdr:nvSpPr>
        <xdr:spPr>
          <a:xfrm>
            <a:off x="16647428" y="1500187"/>
            <a:ext cx="95667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14</xdr:col>
      <xdr:colOff>511038</xdr:colOff>
      <xdr:row>47</xdr:row>
      <xdr:rowOff>174903</xdr:rowOff>
    </xdr:from>
    <xdr:to>
      <xdr:col>16</xdr:col>
      <xdr:colOff>116104</xdr:colOff>
      <xdr:row>49</xdr:row>
      <xdr:rowOff>108987</xdr:rowOff>
    </xdr:to>
    <xdr:sp macro="" textlink="">
      <xdr:nvSpPr>
        <xdr:cNvPr id="306" name="Retângulo: Cantos Arredondados 305">
          <a:extLst>
            <a:ext uri="{FF2B5EF4-FFF2-40B4-BE49-F238E27FC236}">
              <a16:creationId xmlns:a16="http://schemas.microsoft.com/office/drawing/2014/main" id="{C91AAFC6-A9EF-D141-4C23-647A1CF5B876}"/>
            </a:ext>
          </a:extLst>
        </xdr:cNvPr>
        <xdr:cNvSpPr/>
      </xdr:nvSpPr>
      <xdr:spPr>
        <a:xfrm>
          <a:off x="8982685" y="9072374"/>
          <a:ext cx="815301" cy="292672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391414</xdr:colOff>
      <xdr:row>46</xdr:row>
      <xdr:rowOff>116213</xdr:rowOff>
    </xdr:from>
    <xdr:to>
      <xdr:col>5</xdr:col>
      <xdr:colOff>534677</xdr:colOff>
      <xdr:row>48</xdr:row>
      <xdr:rowOff>44581</xdr:rowOff>
    </xdr:to>
    <xdr:sp macro="" textlink="">
      <xdr:nvSpPr>
        <xdr:cNvPr id="309" name="Retângulo: Cantos Arredondados 308">
          <a:extLst>
            <a:ext uri="{FF2B5EF4-FFF2-40B4-BE49-F238E27FC236}">
              <a16:creationId xmlns:a16="http://schemas.microsoft.com/office/drawing/2014/main" id="{FBE78C97-F01F-720E-AD73-CB37780C0A65}"/>
            </a:ext>
          </a:extLst>
        </xdr:cNvPr>
        <xdr:cNvSpPr/>
      </xdr:nvSpPr>
      <xdr:spPr>
        <a:xfrm>
          <a:off x="2811885" y="8834389"/>
          <a:ext cx="748380" cy="28695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546546</xdr:colOff>
      <xdr:row>47</xdr:row>
      <xdr:rowOff>138623</xdr:rowOff>
    </xdr:from>
    <xdr:to>
      <xdr:col>14</xdr:col>
      <xdr:colOff>414618</xdr:colOff>
      <xdr:row>49</xdr:row>
      <xdr:rowOff>104175</xdr:rowOff>
    </xdr:to>
    <xdr:grpSp>
      <xdr:nvGrpSpPr>
        <xdr:cNvPr id="313" name="Agrupar 312">
          <a:extLst>
            <a:ext uri="{FF2B5EF4-FFF2-40B4-BE49-F238E27FC236}">
              <a16:creationId xmlns:a16="http://schemas.microsoft.com/office/drawing/2014/main" id="{DFF6AD16-52F3-5882-F7F1-82C568D6C4BD}"/>
            </a:ext>
          </a:extLst>
        </xdr:cNvPr>
        <xdr:cNvGrpSpPr/>
      </xdr:nvGrpSpPr>
      <xdr:grpSpPr>
        <a:xfrm>
          <a:off x="7807958" y="9405888"/>
          <a:ext cx="1078307" cy="346552"/>
          <a:chOff x="16647427" y="1500187"/>
          <a:chExt cx="981113" cy="294818"/>
        </a:xfrm>
      </xdr:grpSpPr>
      <xdr:sp macro="" textlink="">
        <xdr:nvSpPr>
          <xdr:cNvPr id="317" name="Retângulo: Cantos Arredondados 316">
            <a:extLst>
              <a:ext uri="{FF2B5EF4-FFF2-40B4-BE49-F238E27FC236}">
                <a16:creationId xmlns:a16="http://schemas.microsoft.com/office/drawing/2014/main" id="{4EA05CB0-3765-3649-9B1C-488B643CEE62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8" name="Retângulo: Cantos Arredondados 317">
            <a:extLst>
              <a:ext uri="{FF2B5EF4-FFF2-40B4-BE49-F238E27FC236}">
                <a16:creationId xmlns:a16="http://schemas.microsoft.com/office/drawing/2014/main" id="{CA2CE22B-3F5D-384E-4533-C94AB4BBC077}"/>
              </a:ext>
            </a:extLst>
          </xdr:cNvPr>
          <xdr:cNvSpPr/>
        </xdr:nvSpPr>
        <xdr:spPr>
          <a:xfrm>
            <a:off x="16647427" y="1500187"/>
            <a:ext cx="981113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</a:t>
            </a:r>
          </a:p>
        </xdr:txBody>
      </xdr:sp>
    </xdr:grpSp>
    <xdr:clientData/>
  </xdr:twoCellAnchor>
  <xdr:twoCellAnchor>
    <xdr:from>
      <xdr:col>6</xdr:col>
      <xdr:colOff>136436</xdr:colOff>
      <xdr:row>41</xdr:row>
      <xdr:rowOff>41581</xdr:rowOff>
    </xdr:from>
    <xdr:to>
      <xdr:col>9</xdr:col>
      <xdr:colOff>337083</xdr:colOff>
      <xdr:row>42</xdr:row>
      <xdr:rowOff>152809</xdr:rowOff>
    </xdr:to>
    <xdr:grpSp>
      <xdr:nvGrpSpPr>
        <xdr:cNvPr id="319" name="Agrupar 318">
          <a:extLst>
            <a:ext uri="{FF2B5EF4-FFF2-40B4-BE49-F238E27FC236}">
              <a16:creationId xmlns:a16="http://schemas.microsoft.com/office/drawing/2014/main" id="{A08CCB8D-1822-96F5-24AA-D4EB4041283B}"/>
            </a:ext>
          </a:extLst>
        </xdr:cNvPr>
        <xdr:cNvGrpSpPr/>
      </xdr:nvGrpSpPr>
      <xdr:grpSpPr>
        <a:xfrm>
          <a:off x="3767142" y="8143434"/>
          <a:ext cx="2016000" cy="324140"/>
          <a:chOff x="16647428" y="1500187"/>
          <a:chExt cx="981112" cy="294818"/>
        </a:xfrm>
      </xdr:grpSpPr>
      <xdr:sp macro="" textlink="">
        <xdr:nvSpPr>
          <xdr:cNvPr id="320" name="Retângulo: Cantos Arredondados 319">
            <a:extLst>
              <a:ext uri="{FF2B5EF4-FFF2-40B4-BE49-F238E27FC236}">
                <a16:creationId xmlns:a16="http://schemas.microsoft.com/office/drawing/2014/main" id="{F4D409E6-CE07-73CD-AA22-0A236F9FD99B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1" name="Retângulo: Cantos Arredondados 320">
            <a:extLst>
              <a:ext uri="{FF2B5EF4-FFF2-40B4-BE49-F238E27FC236}">
                <a16:creationId xmlns:a16="http://schemas.microsoft.com/office/drawing/2014/main" id="{56BDAB36-EE20-B522-68F3-6FDC27C63F7A}"/>
              </a:ext>
            </a:extLst>
          </xdr:cNvPr>
          <xdr:cNvSpPr/>
        </xdr:nvSpPr>
        <xdr:spPr>
          <a:xfrm>
            <a:off x="16647428" y="1500187"/>
            <a:ext cx="96224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Notas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</xdr:col>
      <xdr:colOff>478068</xdr:colOff>
      <xdr:row>56</xdr:row>
      <xdr:rowOff>56850</xdr:rowOff>
    </xdr:from>
    <xdr:to>
      <xdr:col>20</xdr:col>
      <xdr:colOff>305142</xdr:colOff>
      <xdr:row>102</xdr:row>
      <xdr:rowOff>57633</xdr:rowOff>
    </xdr:to>
    <xdr:grpSp>
      <xdr:nvGrpSpPr>
        <xdr:cNvPr id="645" name="Agrupar 644">
          <a:extLst>
            <a:ext uri="{FF2B5EF4-FFF2-40B4-BE49-F238E27FC236}">
              <a16:creationId xmlns:a16="http://schemas.microsoft.com/office/drawing/2014/main" id="{8EAA7611-A184-D177-9463-CEEDB0A15AC3}"/>
            </a:ext>
          </a:extLst>
        </xdr:cNvPr>
        <xdr:cNvGrpSpPr/>
      </xdr:nvGrpSpPr>
      <xdr:grpSpPr>
        <a:xfrm>
          <a:off x="1688303" y="11038615"/>
          <a:ext cx="10719192" cy="8943077"/>
          <a:chOff x="1856391" y="11221943"/>
          <a:chExt cx="10723002" cy="8225452"/>
        </a:xfrm>
      </xdr:grpSpPr>
      <xdr:sp macro="" textlink="">
        <xdr:nvSpPr>
          <xdr:cNvPr id="73" name="Retângulo: Cantos Arredondados 72">
            <a:extLst>
              <a:ext uri="{FF2B5EF4-FFF2-40B4-BE49-F238E27FC236}">
                <a16:creationId xmlns:a16="http://schemas.microsoft.com/office/drawing/2014/main" id="{C84B1AAB-2063-281B-6BA9-83C680288897}"/>
              </a:ext>
            </a:extLst>
          </xdr:cNvPr>
          <xdr:cNvSpPr/>
        </xdr:nvSpPr>
        <xdr:spPr>
          <a:xfrm>
            <a:off x="1856391" y="11221943"/>
            <a:ext cx="10723002" cy="8225452"/>
          </a:xfrm>
          <a:prstGeom prst="roundRect">
            <a:avLst>
              <a:gd name="adj" fmla="val 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5" name="Retângulo: Cantos Arredondados 74">
            <a:extLst>
              <a:ext uri="{FF2B5EF4-FFF2-40B4-BE49-F238E27FC236}">
                <a16:creationId xmlns:a16="http://schemas.microsoft.com/office/drawing/2014/main" id="{7722E96B-3242-0A6D-617D-9CB7C5DD2723}"/>
              </a:ext>
            </a:extLst>
          </xdr:cNvPr>
          <xdr:cNvSpPr/>
        </xdr:nvSpPr>
        <xdr:spPr>
          <a:xfrm>
            <a:off x="2632073" y="11401888"/>
            <a:ext cx="1811483" cy="395268"/>
          </a:xfrm>
          <a:prstGeom prst="roundRect">
            <a:avLst>
              <a:gd name="adj" fmla="val 50000"/>
            </a:avLst>
          </a:prstGeom>
          <a:gradFill>
            <a:gsLst>
              <a:gs pos="0">
                <a:schemeClr val="bg2">
                  <a:lumMod val="25000"/>
                </a:schemeClr>
              </a:gs>
              <a:gs pos="86000">
                <a:schemeClr val="tx1">
                  <a:lumMod val="65000"/>
                  <a:lumOff val="35000"/>
                </a:schemeClr>
              </a:gs>
            </a:gsLst>
            <a:lin ang="5400000" scaled="1"/>
          </a:gradFill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    </a:t>
            </a:r>
          </a:p>
        </xdr:txBody>
      </xdr:sp>
      <xdr:pic>
        <xdr:nvPicPr>
          <xdr:cNvPr id="391" name="Gráfico 390" descr="Lupa">
            <a:extLst>
              <a:ext uri="{FF2B5EF4-FFF2-40B4-BE49-F238E27FC236}">
                <a16:creationId xmlns:a16="http://schemas.microsoft.com/office/drawing/2014/main" id="{E9BC14A4-4419-442E-945D-F1518144E0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713285" y="11496370"/>
            <a:ext cx="240481" cy="231312"/>
          </a:xfrm>
          <a:prstGeom prst="rect">
            <a:avLst/>
          </a:prstGeom>
          <a:effectLst>
            <a:outerShdw blurRad="50800" dist="50800" dir="5400000" algn="ctr" rotWithShape="0">
              <a:schemeClr val="accent6">
                <a:lumMod val="75000"/>
              </a:schemeClr>
            </a:outerShdw>
          </a:effectLst>
        </xdr:spPr>
      </xdr:pic>
      <xdr:grpSp>
        <xdr:nvGrpSpPr>
          <xdr:cNvPr id="537" name="Agrupar 536">
            <a:extLst>
              <a:ext uri="{FF2B5EF4-FFF2-40B4-BE49-F238E27FC236}">
                <a16:creationId xmlns:a16="http://schemas.microsoft.com/office/drawing/2014/main" id="{DCA91939-FAC8-B829-299B-80FFE61FA656}"/>
              </a:ext>
            </a:extLst>
          </xdr:cNvPr>
          <xdr:cNvGrpSpPr/>
        </xdr:nvGrpSpPr>
        <xdr:grpSpPr>
          <a:xfrm>
            <a:off x="6419418" y="11396124"/>
            <a:ext cx="1996094" cy="419111"/>
            <a:chOff x="2252915" y="10559353"/>
            <a:chExt cx="1985750" cy="414155"/>
          </a:xfrm>
        </xdr:grpSpPr>
        <xdr:sp macro="" textlink="">
          <xdr:nvSpPr>
            <xdr:cNvPr id="129" name="Retângulo: Cantos Arredondados 128">
              <a:extLst>
                <a:ext uri="{FF2B5EF4-FFF2-40B4-BE49-F238E27FC236}">
                  <a16:creationId xmlns:a16="http://schemas.microsoft.com/office/drawing/2014/main" id="{5D719957-1EAF-C55F-9760-8513409C1B31}"/>
                </a:ext>
              </a:extLst>
            </xdr:cNvPr>
            <xdr:cNvSpPr/>
          </xdr:nvSpPr>
          <xdr:spPr>
            <a:xfrm>
              <a:off x="2252915" y="10559353"/>
              <a:ext cx="1985750" cy="41415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334" name="Gráfico 333" descr="Lupa">
              <a:extLst>
                <a:ext uri="{FF2B5EF4-FFF2-40B4-BE49-F238E27FC236}">
                  <a16:creationId xmlns:a16="http://schemas.microsoft.com/office/drawing/2014/main" id="{03694DE5-514F-4FAF-A7C6-90D7C97B6C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2351632" y="10692849"/>
              <a:ext cx="274700" cy="231406"/>
            </a:xfrm>
            <a:prstGeom prst="rect">
              <a:avLst/>
            </a:prstGeom>
            <a:effectLst>
              <a:outerShdw blurRad="50800" dist="50800" dir="5400000" algn="ctr" rotWithShape="0">
                <a:schemeClr val="accent6">
                  <a:lumMod val="75000"/>
                </a:schemeClr>
              </a:outerShdw>
            </a:effectLst>
          </xdr:spPr>
        </xdr:pic>
      </xdr:grpSp>
      <xdr:grpSp>
        <xdr:nvGrpSpPr>
          <xdr:cNvPr id="503" name="Agrupar 502">
            <a:extLst>
              <a:ext uri="{FF2B5EF4-FFF2-40B4-BE49-F238E27FC236}">
                <a16:creationId xmlns:a16="http://schemas.microsoft.com/office/drawing/2014/main" id="{762F153E-AB84-43C2-88C4-C554AAD8C51E}"/>
              </a:ext>
            </a:extLst>
          </xdr:cNvPr>
          <xdr:cNvGrpSpPr/>
        </xdr:nvGrpSpPr>
        <xdr:grpSpPr>
          <a:xfrm>
            <a:off x="11059871" y="15127650"/>
            <a:ext cx="1164546" cy="419802"/>
            <a:chOff x="5368974" y="11936132"/>
            <a:chExt cx="608321" cy="274155"/>
          </a:xfrm>
        </xdr:grpSpPr>
        <xdr:sp macro="" textlink="">
          <xdr:nvSpPr>
            <xdr:cNvPr id="504" name="Retângulo: Cantos Arredondados 503">
              <a:extLst>
                <a:ext uri="{FF2B5EF4-FFF2-40B4-BE49-F238E27FC236}">
                  <a16:creationId xmlns:a16="http://schemas.microsoft.com/office/drawing/2014/main" id="{BBDE57B7-FE5C-B026-6540-A12C6A0011C1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05" name="Retângulo: Cantos Arredondados 504">
              <a:extLst>
                <a:ext uri="{FF2B5EF4-FFF2-40B4-BE49-F238E27FC236}">
                  <a16:creationId xmlns:a16="http://schemas.microsoft.com/office/drawing/2014/main" id="{5A211D54-D547-D845-664D-95BE30B606B4}"/>
                </a:ext>
              </a:extLst>
            </xdr:cNvPr>
            <xdr:cNvSpPr/>
          </xdr:nvSpPr>
          <xdr:spPr>
            <a:xfrm>
              <a:off x="5368974" y="11936807"/>
              <a:ext cx="605273" cy="268191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Alterar </a:t>
              </a:r>
              <a:r>
                <a:rPr lang="pt-BR" sz="1100" b="1" baseline="0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506" name="Agrupar 505">
            <a:extLst>
              <a:ext uri="{FF2B5EF4-FFF2-40B4-BE49-F238E27FC236}">
                <a16:creationId xmlns:a16="http://schemas.microsoft.com/office/drawing/2014/main" id="{35980735-1F31-479A-80E2-C73F5A8D07E4}"/>
              </a:ext>
            </a:extLst>
          </xdr:cNvPr>
          <xdr:cNvGrpSpPr/>
        </xdr:nvGrpSpPr>
        <xdr:grpSpPr>
          <a:xfrm>
            <a:off x="11069784" y="15768478"/>
            <a:ext cx="1158294" cy="435497"/>
            <a:chOff x="5369254" y="11936132"/>
            <a:chExt cx="608041" cy="274155"/>
          </a:xfrm>
        </xdr:grpSpPr>
        <xdr:sp macro="" textlink="">
          <xdr:nvSpPr>
            <xdr:cNvPr id="507" name="Retângulo: Cantos Arredondados 506">
              <a:extLst>
                <a:ext uri="{FF2B5EF4-FFF2-40B4-BE49-F238E27FC236}">
                  <a16:creationId xmlns:a16="http://schemas.microsoft.com/office/drawing/2014/main" id="{E0C37717-A09B-DB41-2403-6D36A847BD82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08" name="Retângulo: Cantos Arredondados 507">
              <a:extLst>
                <a:ext uri="{FF2B5EF4-FFF2-40B4-BE49-F238E27FC236}">
                  <a16:creationId xmlns:a16="http://schemas.microsoft.com/office/drawing/2014/main" id="{56C42062-811A-B7CC-EB9D-7E8E4500E9EC}"/>
                </a:ext>
              </a:extLst>
            </xdr:cNvPr>
            <xdr:cNvSpPr/>
          </xdr:nvSpPr>
          <xdr:spPr>
            <a:xfrm>
              <a:off x="5369254" y="11936633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Salvar Novo </a:t>
              </a:r>
            </a:p>
          </xdr:txBody>
        </xdr:sp>
      </xdr:grpSp>
      <xdr:grpSp>
        <xdr:nvGrpSpPr>
          <xdr:cNvPr id="509" name="Agrupar 508">
            <a:extLst>
              <a:ext uri="{FF2B5EF4-FFF2-40B4-BE49-F238E27FC236}">
                <a16:creationId xmlns:a16="http://schemas.microsoft.com/office/drawing/2014/main" id="{25F46C41-880A-445A-AA5E-B7A844D1DB8D}"/>
              </a:ext>
            </a:extLst>
          </xdr:cNvPr>
          <xdr:cNvGrpSpPr/>
        </xdr:nvGrpSpPr>
        <xdr:grpSpPr>
          <a:xfrm>
            <a:off x="11104796" y="16448026"/>
            <a:ext cx="1146857" cy="431704"/>
            <a:chOff x="5369254" y="11936132"/>
            <a:chExt cx="608041" cy="274155"/>
          </a:xfrm>
        </xdr:grpSpPr>
        <xdr:sp macro="" textlink="">
          <xdr:nvSpPr>
            <xdr:cNvPr id="510" name="Retângulo: Cantos Arredondados 509">
              <a:extLst>
                <a:ext uri="{FF2B5EF4-FFF2-40B4-BE49-F238E27FC236}">
                  <a16:creationId xmlns:a16="http://schemas.microsoft.com/office/drawing/2014/main" id="{141A9E04-08D2-BAD0-5D2D-F47DA5359187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11" name="Retângulo: Cantos Arredondados 510">
              <a:extLst>
                <a:ext uri="{FF2B5EF4-FFF2-40B4-BE49-F238E27FC236}">
                  <a16:creationId xmlns:a16="http://schemas.microsoft.com/office/drawing/2014/main" id="{EDDD1A73-44C0-5AC4-17B4-7AE05C3E35F2}"/>
                </a:ext>
              </a:extLst>
            </xdr:cNvPr>
            <xdr:cNvSpPr/>
          </xdr:nvSpPr>
          <xdr:spPr>
            <a:xfrm>
              <a:off x="5369254" y="11936647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Deletar</a:t>
              </a:r>
            </a:p>
          </xdr:txBody>
        </xdr:sp>
      </xdr:grpSp>
      <xdr:grpSp>
        <xdr:nvGrpSpPr>
          <xdr:cNvPr id="512" name="Agrupar 511">
            <a:extLst>
              <a:ext uri="{FF2B5EF4-FFF2-40B4-BE49-F238E27FC236}">
                <a16:creationId xmlns:a16="http://schemas.microsoft.com/office/drawing/2014/main" id="{705C2FB9-1BF6-48A0-ACD3-83EDF8004036}"/>
              </a:ext>
            </a:extLst>
          </xdr:cNvPr>
          <xdr:cNvGrpSpPr/>
        </xdr:nvGrpSpPr>
        <xdr:grpSpPr>
          <a:xfrm>
            <a:off x="11098920" y="17100631"/>
            <a:ext cx="1152558" cy="421734"/>
            <a:chOff x="5369251" y="11936132"/>
            <a:chExt cx="608044" cy="274155"/>
          </a:xfrm>
        </xdr:grpSpPr>
        <xdr:sp macro="" textlink="">
          <xdr:nvSpPr>
            <xdr:cNvPr id="513" name="Retângulo: Cantos Arredondados 512">
              <a:extLst>
                <a:ext uri="{FF2B5EF4-FFF2-40B4-BE49-F238E27FC236}">
                  <a16:creationId xmlns:a16="http://schemas.microsoft.com/office/drawing/2014/main" id="{B156CBCB-6924-47BB-B6B5-792FC7FB6ECB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14" name="Retângulo: Cantos Arredondados 513">
              <a:extLst>
                <a:ext uri="{FF2B5EF4-FFF2-40B4-BE49-F238E27FC236}">
                  <a16:creationId xmlns:a16="http://schemas.microsoft.com/office/drawing/2014/main" id="{EA713A32-D571-62E9-1F91-26A60B4DAF1B}"/>
                </a:ext>
              </a:extLst>
            </xdr:cNvPr>
            <xdr:cNvSpPr/>
          </xdr:nvSpPr>
          <xdr:spPr>
            <a:xfrm>
              <a:off x="5369251" y="11936707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Dashboard</a:t>
              </a:r>
            </a:p>
          </xdr:txBody>
        </xdr:sp>
      </xdr:grpSp>
      <xdr:grpSp>
        <xdr:nvGrpSpPr>
          <xdr:cNvPr id="521" name="Agrupar 520">
            <a:extLst>
              <a:ext uri="{FF2B5EF4-FFF2-40B4-BE49-F238E27FC236}">
                <a16:creationId xmlns:a16="http://schemas.microsoft.com/office/drawing/2014/main" id="{2FE89730-2A34-4D37-87B9-D7AC6BBE7E57}"/>
              </a:ext>
            </a:extLst>
          </xdr:cNvPr>
          <xdr:cNvGrpSpPr/>
        </xdr:nvGrpSpPr>
        <xdr:grpSpPr>
          <a:xfrm>
            <a:off x="11079168" y="17816863"/>
            <a:ext cx="1156403" cy="419757"/>
            <a:chOff x="5369260" y="11936132"/>
            <a:chExt cx="608035" cy="274155"/>
          </a:xfrm>
        </xdr:grpSpPr>
        <xdr:sp macro="" textlink="">
          <xdr:nvSpPr>
            <xdr:cNvPr id="522" name="Retângulo: Cantos Arredondados 521">
              <a:extLst>
                <a:ext uri="{FF2B5EF4-FFF2-40B4-BE49-F238E27FC236}">
                  <a16:creationId xmlns:a16="http://schemas.microsoft.com/office/drawing/2014/main" id="{699B5E1E-3E31-813A-8AD5-9D78C4EAF1E5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23" name="Retângulo: Cantos Arredondados 522">
              <a:extLst>
                <a:ext uri="{FF2B5EF4-FFF2-40B4-BE49-F238E27FC236}">
                  <a16:creationId xmlns:a16="http://schemas.microsoft.com/office/drawing/2014/main" id="{03F09300-FB3D-4D5D-0D6D-286F8BA86141}"/>
                </a:ext>
              </a:extLst>
            </xdr:cNvPr>
            <xdr:cNvSpPr/>
          </xdr:nvSpPr>
          <xdr:spPr>
            <a:xfrm>
              <a:off x="5369260" y="11936634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Gerar PDF</a:t>
              </a:r>
            </a:p>
          </xdr:txBody>
        </xdr:sp>
      </xdr:grpSp>
      <xdr:grpSp>
        <xdr:nvGrpSpPr>
          <xdr:cNvPr id="524" name="Agrupar 523">
            <a:extLst>
              <a:ext uri="{FF2B5EF4-FFF2-40B4-BE49-F238E27FC236}">
                <a16:creationId xmlns:a16="http://schemas.microsoft.com/office/drawing/2014/main" id="{C9984514-5B12-417D-B2BB-3E450BF96ADF}"/>
              </a:ext>
            </a:extLst>
          </xdr:cNvPr>
          <xdr:cNvGrpSpPr/>
        </xdr:nvGrpSpPr>
        <xdr:grpSpPr>
          <a:xfrm>
            <a:off x="11094264" y="18493596"/>
            <a:ext cx="1141128" cy="397625"/>
            <a:chOff x="5369251" y="11936132"/>
            <a:chExt cx="608044" cy="274155"/>
          </a:xfrm>
        </xdr:grpSpPr>
        <xdr:sp macro="" textlink="">
          <xdr:nvSpPr>
            <xdr:cNvPr id="525" name="Retângulo: Cantos Arredondados 524">
              <a:extLst>
                <a:ext uri="{FF2B5EF4-FFF2-40B4-BE49-F238E27FC236}">
                  <a16:creationId xmlns:a16="http://schemas.microsoft.com/office/drawing/2014/main" id="{324D8669-E1F3-3FF8-7C0A-EC39FEF56CE2}"/>
                </a:ext>
              </a:extLst>
            </xdr:cNvPr>
            <xdr:cNvSpPr/>
          </xdr:nvSpPr>
          <xdr:spPr>
            <a:xfrm>
              <a:off x="5370332" y="11936132"/>
              <a:ext cx="606963" cy="27415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pt-BR" sz="11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526" name="Retângulo: Cantos Arredondados 525">
              <a:extLst>
                <a:ext uri="{FF2B5EF4-FFF2-40B4-BE49-F238E27FC236}">
                  <a16:creationId xmlns:a16="http://schemas.microsoft.com/office/drawing/2014/main" id="{A137AE94-1151-51C2-0D96-25A11C410090}"/>
                </a:ext>
              </a:extLst>
            </xdr:cNvPr>
            <xdr:cNvSpPr/>
          </xdr:nvSpPr>
          <xdr:spPr>
            <a:xfrm>
              <a:off x="5369251" y="11936812"/>
              <a:ext cx="605058" cy="26844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762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Salvar e Sair</a:t>
              </a:r>
            </a:p>
          </xdr:txBody>
        </xdr:sp>
      </xdr:grpSp>
      <xdr:grpSp>
        <xdr:nvGrpSpPr>
          <xdr:cNvPr id="558" name="Agrupar 557">
            <a:extLst>
              <a:ext uri="{FF2B5EF4-FFF2-40B4-BE49-F238E27FC236}">
                <a16:creationId xmlns:a16="http://schemas.microsoft.com/office/drawing/2014/main" id="{F9E01644-CC12-29FA-A7FC-15F70F3100D4}"/>
              </a:ext>
            </a:extLst>
          </xdr:cNvPr>
          <xdr:cNvGrpSpPr/>
        </xdr:nvGrpSpPr>
        <xdr:grpSpPr>
          <a:xfrm>
            <a:off x="1970535" y="11499515"/>
            <a:ext cx="610083" cy="282309"/>
            <a:chOff x="1014554" y="10206790"/>
            <a:chExt cx="617797" cy="271918"/>
          </a:xfrm>
        </xdr:grpSpPr>
        <xdr:pic>
          <xdr:nvPicPr>
            <xdr:cNvPr id="333" name="Gráfico 332" descr="Usuário">
              <a:extLst>
                <a:ext uri="{FF2B5EF4-FFF2-40B4-BE49-F238E27FC236}">
                  <a16:creationId xmlns:a16="http://schemas.microsoft.com/office/drawing/2014/main" id="{5B653368-0B86-4957-B9AB-F3A201D430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00221" y="10240310"/>
              <a:ext cx="232130" cy="221790"/>
            </a:xfrm>
            <a:prstGeom prst="rect">
              <a:avLst/>
            </a:prstGeom>
          </xdr:spPr>
        </xdr:pic>
        <xdr:sp macro="" textlink="">
          <xdr:nvSpPr>
            <xdr:cNvPr id="538" name="CaixaDeTexto 537">
              <a:extLst>
                <a:ext uri="{FF2B5EF4-FFF2-40B4-BE49-F238E27FC236}">
                  <a16:creationId xmlns:a16="http://schemas.microsoft.com/office/drawing/2014/main" id="{974F8660-FF24-8471-340E-2A1589450DB7}"/>
                </a:ext>
              </a:extLst>
            </xdr:cNvPr>
            <xdr:cNvSpPr txBox="1"/>
          </xdr:nvSpPr>
          <xdr:spPr>
            <a:xfrm>
              <a:off x="1014554" y="10206790"/>
              <a:ext cx="498526" cy="27191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2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CPF</a:t>
              </a:r>
            </a:p>
          </xdr:txBody>
        </xdr:sp>
      </xdr:grpSp>
      <xdr:grpSp>
        <xdr:nvGrpSpPr>
          <xdr:cNvPr id="559" name="Agrupar 558">
            <a:extLst>
              <a:ext uri="{FF2B5EF4-FFF2-40B4-BE49-F238E27FC236}">
                <a16:creationId xmlns:a16="http://schemas.microsoft.com/office/drawing/2014/main" id="{9BC68215-F0E8-19B5-BBB1-F8CA807BBCC2}"/>
              </a:ext>
            </a:extLst>
          </xdr:cNvPr>
          <xdr:cNvGrpSpPr/>
        </xdr:nvGrpSpPr>
        <xdr:grpSpPr>
          <a:xfrm>
            <a:off x="5614880" y="11494057"/>
            <a:ext cx="798937" cy="306861"/>
            <a:chOff x="4706496" y="10257815"/>
            <a:chExt cx="791442" cy="292669"/>
          </a:xfrm>
        </xdr:grpSpPr>
        <xdr:pic>
          <xdr:nvPicPr>
            <xdr:cNvPr id="377" name="Gráfico 376" descr="Usuário">
              <a:extLst>
                <a:ext uri="{FF2B5EF4-FFF2-40B4-BE49-F238E27FC236}">
                  <a16:creationId xmlns:a16="http://schemas.microsoft.com/office/drawing/2014/main" id="{D484DCE3-795A-6E4C-5FCB-6F9D01F38F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5269532" y="10303571"/>
              <a:ext cx="228406" cy="219594"/>
            </a:xfrm>
            <a:prstGeom prst="rect">
              <a:avLst/>
            </a:prstGeom>
          </xdr:spPr>
        </xdr:pic>
        <xdr:sp macro="" textlink="">
          <xdr:nvSpPr>
            <xdr:cNvPr id="557" name="CaixaDeTexto 556">
              <a:extLst>
                <a:ext uri="{FF2B5EF4-FFF2-40B4-BE49-F238E27FC236}">
                  <a16:creationId xmlns:a16="http://schemas.microsoft.com/office/drawing/2014/main" id="{F7A324B2-2D8F-0F24-A099-4CE921AB5D36}"/>
                </a:ext>
              </a:extLst>
            </xdr:cNvPr>
            <xdr:cNvSpPr txBox="1"/>
          </xdr:nvSpPr>
          <xdr:spPr>
            <a:xfrm>
              <a:off x="4706496" y="10257815"/>
              <a:ext cx="668016" cy="29266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2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Nome</a:t>
              </a:r>
            </a:p>
          </xdr:txBody>
        </xdr:sp>
      </xdr:grpSp>
      <xdr:grpSp>
        <xdr:nvGrpSpPr>
          <xdr:cNvPr id="630" name="Agrupar 629">
            <a:extLst>
              <a:ext uri="{FF2B5EF4-FFF2-40B4-BE49-F238E27FC236}">
                <a16:creationId xmlns:a16="http://schemas.microsoft.com/office/drawing/2014/main" id="{F5DFBB7F-266E-BAE9-4B4B-CB13317F32AC}"/>
              </a:ext>
            </a:extLst>
          </xdr:cNvPr>
          <xdr:cNvGrpSpPr/>
        </xdr:nvGrpSpPr>
        <xdr:grpSpPr>
          <a:xfrm>
            <a:off x="4510711" y="11352964"/>
            <a:ext cx="995884" cy="435667"/>
            <a:chOff x="4557012" y="10270190"/>
            <a:chExt cx="1023743" cy="438080"/>
          </a:xfrm>
        </xdr:grpSpPr>
        <xdr:sp macro="" textlink="">
          <xdr:nvSpPr>
            <xdr:cNvPr id="627" name="Retângulo: Cantos Arredondados 626">
              <a:extLst>
                <a:ext uri="{FF2B5EF4-FFF2-40B4-BE49-F238E27FC236}">
                  <a16:creationId xmlns:a16="http://schemas.microsoft.com/office/drawing/2014/main" id="{24BCEBAC-AE41-4989-BA93-650C5F632AB3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8" name="Retângulo: Cantos Arredondados 627">
              <a:extLst>
                <a:ext uri="{FF2B5EF4-FFF2-40B4-BE49-F238E27FC236}">
                  <a16:creationId xmlns:a16="http://schemas.microsoft.com/office/drawing/2014/main" id="{58D29B6C-2F96-47CA-BFD6-2976F3D6049E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Pesquisar</a:t>
              </a:r>
            </a:p>
          </xdr:txBody>
        </xdr:sp>
      </xdr:grpSp>
      <xdr:grpSp>
        <xdr:nvGrpSpPr>
          <xdr:cNvPr id="631" name="Agrupar 630">
            <a:extLst>
              <a:ext uri="{FF2B5EF4-FFF2-40B4-BE49-F238E27FC236}">
                <a16:creationId xmlns:a16="http://schemas.microsoft.com/office/drawing/2014/main" id="{858C12FF-2847-46AB-B4BB-491D9622F695}"/>
              </a:ext>
            </a:extLst>
          </xdr:cNvPr>
          <xdr:cNvGrpSpPr/>
        </xdr:nvGrpSpPr>
        <xdr:grpSpPr>
          <a:xfrm>
            <a:off x="8483332" y="11352964"/>
            <a:ext cx="992067" cy="435667"/>
            <a:chOff x="4557012" y="10270190"/>
            <a:chExt cx="1023743" cy="438080"/>
          </a:xfrm>
        </xdr:grpSpPr>
        <xdr:sp macro="" textlink="">
          <xdr:nvSpPr>
            <xdr:cNvPr id="632" name="Retângulo: Cantos Arredondados 631">
              <a:extLst>
                <a:ext uri="{FF2B5EF4-FFF2-40B4-BE49-F238E27FC236}">
                  <a16:creationId xmlns:a16="http://schemas.microsoft.com/office/drawing/2014/main" id="{1DE46BED-0E25-9FE2-22FD-F15E8CBDDD7F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3" name="Retângulo: Cantos Arredondados 632">
              <a:extLst>
                <a:ext uri="{FF2B5EF4-FFF2-40B4-BE49-F238E27FC236}">
                  <a16:creationId xmlns:a16="http://schemas.microsoft.com/office/drawing/2014/main" id="{6F08975C-E282-FF50-24C4-0310F2CA780E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effectLst/>
                  <a:latin typeface="Segoe UI" panose="020B0502040204020203" pitchFamily="34" charset="0"/>
                  <a:ea typeface="+mn-ea"/>
                  <a:cs typeface="Segoe UI" panose="020B0502040204020203" pitchFamily="34" charset="0"/>
                </a:rPr>
                <a:t>Pesquisar</a:t>
              </a:r>
              <a:endParaRPr lang="pt-BR" sz="1100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637" name="Agrupar 636">
            <a:extLst>
              <a:ext uri="{FF2B5EF4-FFF2-40B4-BE49-F238E27FC236}">
                <a16:creationId xmlns:a16="http://schemas.microsoft.com/office/drawing/2014/main" id="{65CFB3AC-483E-4F61-9D4A-6034A6A90DF4}"/>
              </a:ext>
            </a:extLst>
          </xdr:cNvPr>
          <xdr:cNvGrpSpPr/>
        </xdr:nvGrpSpPr>
        <xdr:grpSpPr>
          <a:xfrm>
            <a:off x="11098489" y="11362482"/>
            <a:ext cx="1401958" cy="426149"/>
            <a:chOff x="4557012" y="10270190"/>
            <a:chExt cx="1023743" cy="438080"/>
          </a:xfrm>
        </xdr:grpSpPr>
        <xdr:sp macro="" textlink="">
          <xdr:nvSpPr>
            <xdr:cNvPr id="638" name="Retângulo: Cantos Arredondados 637">
              <a:extLst>
                <a:ext uri="{FF2B5EF4-FFF2-40B4-BE49-F238E27FC236}">
                  <a16:creationId xmlns:a16="http://schemas.microsoft.com/office/drawing/2014/main" id="{E2B0173B-7A5E-D915-86B0-21FE185E6B69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39" name="Retângulo: Cantos Arredondados 638">
              <a:extLst>
                <a:ext uri="{FF2B5EF4-FFF2-40B4-BE49-F238E27FC236}">
                  <a16:creationId xmlns:a16="http://schemas.microsoft.com/office/drawing/2014/main" id="{E4F924C2-0889-19CD-7855-9FE80D00BB44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Editar / Excluir</a:t>
              </a:r>
            </a:p>
          </xdr:txBody>
        </xdr:sp>
      </xdr:grpSp>
      <xdr:grpSp>
        <xdr:nvGrpSpPr>
          <xdr:cNvPr id="640" name="Agrupar 639">
            <a:extLst>
              <a:ext uri="{FF2B5EF4-FFF2-40B4-BE49-F238E27FC236}">
                <a16:creationId xmlns:a16="http://schemas.microsoft.com/office/drawing/2014/main" id="{D75C5A5D-3FBA-42FC-B633-61135D86FD0B}"/>
              </a:ext>
            </a:extLst>
          </xdr:cNvPr>
          <xdr:cNvGrpSpPr/>
        </xdr:nvGrpSpPr>
        <xdr:grpSpPr>
          <a:xfrm>
            <a:off x="9703710" y="11362482"/>
            <a:ext cx="1317969" cy="426149"/>
            <a:chOff x="4557012" y="10270190"/>
            <a:chExt cx="1023743" cy="438080"/>
          </a:xfrm>
        </xdr:grpSpPr>
        <xdr:sp macro="" textlink="">
          <xdr:nvSpPr>
            <xdr:cNvPr id="641" name="Retângulo: Cantos Arredondados 640">
              <a:extLst>
                <a:ext uri="{FF2B5EF4-FFF2-40B4-BE49-F238E27FC236}">
                  <a16:creationId xmlns:a16="http://schemas.microsoft.com/office/drawing/2014/main" id="{3CD300E2-B01C-6141-EFCB-F4586AD09C81}"/>
                </a:ext>
              </a:extLst>
            </xdr:cNvPr>
            <xdr:cNvSpPr/>
          </xdr:nvSpPr>
          <xdr:spPr>
            <a:xfrm>
              <a:off x="4559869" y="10270190"/>
              <a:ext cx="1018028" cy="43808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2" name="Retângulo: Cantos Arredondados 641">
              <a:extLst>
                <a:ext uri="{FF2B5EF4-FFF2-40B4-BE49-F238E27FC236}">
                  <a16:creationId xmlns:a16="http://schemas.microsoft.com/office/drawing/2014/main" id="{A8C38876-D1EA-BE0E-5FEC-20B3067966D9}"/>
                </a:ext>
              </a:extLst>
            </xdr:cNvPr>
            <xdr:cNvSpPr/>
          </xdr:nvSpPr>
          <xdr:spPr>
            <a:xfrm>
              <a:off x="4557012" y="10283518"/>
              <a:ext cx="1023743" cy="413330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>
                  <a:solidFill>
                    <a:srgbClr val="92D05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Inserir Novo</a:t>
              </a:r>
            </a:p>
          </xdr:txBody>
        </xdr:sp>
      </xdr:grpSp>
    </xdr:grpSp>
    <xdr:clientData/>
  </xdr:twoCellAnchor>
  <xdr:twoCellAnchor>
    <xdr:from>
      <xdr:col>25</xdr:col>
      <xdr:colOff>570772</xdr:colOff>
      <xdr:row>30</xdr:row>
      <xdr:rowOff>160579</xdr:rowOff>
    </xdr:from>
    <xdr:to>
      <xdr:col>42</xdr:col>
      <xdr:colOff>307712</xdr:colOff>
      <xdr:row>60</xdr:row>
      <xdr:rowOff>50314</xdr:rowOff>
    </xdr:to>
    <xdr:grpSp>
      <xdr:nvGrpSpPr>
        <xdr:cNvPr id="431" name="Agrupar 430">
          <a:extLst>
            <a:ext uri="{FF2B5EF4-FFF2-40B4-BE49-F238E27FC236}">
              <a16:creationId xmlns:a16="http://schemas.microsoft.com/office/drawing/2014/main" id="{5021CA70-3AC8-9663-5ACA-127C94B9FB78}"/>
            </a:ext>
          </a:extLst>
        </xdr:cNvPr>
        <xdr:cNvGrpSpPr/>
      </xdr:nvGrpSpPr>
      <xdr:grpSpPr>
        <a:xfrm>
          <a:off x="15698713" y="5920403"/>
          <a:ext cx="10023940" cy="5873676"/>
          <a:chOff x="14540697" y="8888057"/>
          <a:chExt cx="10023940" cy="5671970"/>
        </a:xfrm>
      </xdr:grpSpPr>
      <xdr:grpSp>
        <xdr:nvGrpSpPr>
          <xdr:cNvPr id="430" name="Agrupar 429">
            <a:extLst>
              <a:ext uri="{FF2B5EF4-FFF2-40B4-BE49-F238E27FC236}">
                <a16:creationId xmlns:a16="http://schemas.microsoft.com/office/drawing/2014/main" id="{5350DE56-D3BA-6AA7-6FA9-E45B27E2AC2E}"/>
              </a:ext>
            </a:extLst>
          </xdr:cNvPr>
          <xdr:cNvGrpSpPr/>
        </xdr:nvGrpSpPr>
        <xdr:grpSpPr>
          <a:xfrm>
            <a:off x="14544507" y="8891867"/>
            <a:ext cx="10023940" cy="5671970"/>
            <a:chOff x="14354007" y="7281806"/>
            <a:chExt cx="10023940" cy="5673875"/>
          </a:xfrm>
        </xdr:grpSpPr>
        <xdr:sp macro="" textlink="">
          <xdr:nvSpPr>
            <xdr:cNvPr id="178" name="Retângulo: Cantos Arredondados 177">
              <a:extLst>
                <a:ext uri="{FF2B5EF4-FFF2-40B4-BE49-F238E27FC236}">
                  <a16:creationId xmlns:a16="http://schemas.microsoft.com/office/drawing/2014/main" id="{0D4D5266-52A3-2CB0-DA6B-145DB1026395}"/>
                </a:ext>
              </a:extLst>
            </xdr:cNvPr>
            <xdr:cNvSpPr/>
          </xdr:nvSpPr>
          <xdr:spPr>
            <a:xfrm>
              <a:off x="14354007" y="7281806"/>
              <a:ext cx="10023940" cy="5673875"/>
            </a:xfrm>
            <a:prstGeom prst="roundRect">
              <a:avLst>
                <a:gd name="adj" fmla="val 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2" name="Retângulo: Cantos Arredondados 251">
              <a:extLst>
                <a:ext uri="{FF2B5EF4-FFF2-40B4-BE49-F238E27FC236}">
                  <a16:creationId xmlns:a16="http://schemas.microsoft.com/office/drawing/2014/main" id="{8BA62722-A1B3-D52E-58DF-22FA0869EBBB}"/>
                </a:ext>
              </a:extLst>
            </xdr:cNvPr>
            <xdr:cNvSpPr/>
          </xdr:nvSpPr>
          <xdr:spPr>
            <a:xfrm>
              <a:off x="17541273" y="8066205"/>
              <a:ext cx="1437672" cy="27003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49" name="Agrupar 448">
              <a:extLst>
                <a:ext uri="{FF2B5EF4-FFF2-40B4-BE49-F238E27FC236}">
                  <a16:creationId xmlns:a16="http://schemas.microsoft.com/office/drawing/2014/main" id="{C6DDEF51-E4DA-45F3-A423-A9A9D6801CA2}"/>
                </a:ext>
              </a:extLst>
            </xdr:cNvPr>
            <xdr:cNvGrpSpPr/>
          </xdr:nvGrpSpPr>
          <xdr:grpSpPr>
            <a:xfrm>
              <a:off x="14447908" y="8560658"/>
              <a:ext cx="1703600" cy="289417"/>
              <a:chOff x="16645619" y="1334215"/>
              <a:chExt cx="741710" cy="294819"/>
            </a:xfrm>
          </xdr:grpSpPr>
          <xdr:sp macro="" textlink="">
            <xdr:nvSpPr>
              <xdr:cNvPr id="450" name="Retângulo: Cantos Arredondados 449">
                <a:extLst>
                  <a:ext uri="{FF2B5EF4-FFF2-40B4-BE49-F238E27FC236}">
                    <a16:creationId xmlns:a16="http://schemas.microsoft.com/office/drawing/2014/main" id="{F36C85F7-2613-23C2-7EBD-7870F35A5F0A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51" name="Retângulo: Cantos Arredondados 450">
                <a:extLst>
                  <a:ext uri="{FF2B5EF4-FFF2-40B4-BE49-F238E27FC236}">
                    <a16:creationId xmlns:a16="http://schemas.microsoft.com/office/drawing/2014/main" id="{5C20D94B-84B0-07EC-F49F-164BC74B2148}"/>
                  </a:ext>
                </a:extLst>
              </xdr:cNvPr>
              <xdr:cNvSpPr/>
            </xdr:nvSpPr>
            <xdr:spPr>
              <a:xfrm>
                <a:off x="16645619" y="1334215"/>
                <a:ext cx="73547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Preto</a:t>
                </a:r>
              </a:p>
            </xdr:txBody>
          </xdr:sp>
        </xdr:grpSp>
        <xdr:grpSp>
          <xdr:nvGrpSpPr>
            <xdr:cNvPr id="452" name="Agrupar 451">
              <a:extLst>
                <a:ext uri="{FF2B5EF4-FFF2-40B4-BE49-F238E27FC236}">
                  <a16:creationId xmlns:a16="http://schemas.microsoft.com/office/drawing/2014/main" id="{DE0A01E9-ADA7-4879-95FC-DAF8BE0FF87F}"/>
                </a:ext>
              </a:extLst>
            </xdr:cNvPr>
            <xdr:cNvGrpSpPr/>
          </xdr:nvGrpSpPr>
          <xdr:grpSpPr>
            <a:xfrm>
              <a:off x="14447908" y="9066157"/>
              <a:ext cx="1716936" cy="287512"/>
              <a:chOff x="16645619" y="1334215"/>
              <a:chExt cx="747096" cy="294819"/>
            </a:xfrm>
          </xdr:grpSpPr>
          <xdr:sp macro="" textlink="">
            <xdr:nvSpPr>
              <xdr:cNvPr id="453" name="Retângulo: Cantos Arredondados 452">
                <a:extLst>
                  <a:ext uri="{FF2B5EF4-FFF2-40B4-BE49-F238E27FC236}">
                    <a16:creationId xmlns:a16="http://schemas.microsoft.com/office/drawing/2014/main" id="{B3F00F14-07BB-7C73-8321-7779D5F4DE40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54" name="Retângulo: Cantos Arredondados 453">
                <a:extLst>
                  <a:ext uri="{FF2B5EF4-FFF2-40B4-BE49-F238E27FC236}">
                    <a16:creationId xmlns:a16="http://schemas.microsoft.com/office/drawing/2014/main" id="{81A76B68-0459-F9C7-BE50-D972C3B4FC38}"/>
                  </a:ext>
                </a:extLst>
              </xdr:cNvPr>
              <xdr:cNvSpPr/>
            </xdr:nvSpPr>
            <xdr:spPr>
              <a:xfrm>
                <a:off x="16645619" y="1334215"/>
                <a:ext cx="74709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Preto Verde</a:t>
                </a:r>
              </a:p>
            </xdr:txBody>
          </xdr:sp>
        </xdr:grpSp>
        <xdr:grpSp>
          <xdr:nvGrpSpPr>
            <xdr:cNvPr id="455" name="Agrupar 454">
              <a:extLst>
                <a:ext uri="{FF2B5EF4-FFF2-40B4-BE49-F238E27FC236}">
                  <a16:creationId xmlns:a16="http://schemas.microsoft.com/office/drawing/2014/main" id="{EE25CBF1-35E7-4044-957C-E3D3F0582EBE}"/>
                </a:ext>
              </a:extLst>
            </xdr:cNvPr>
            <xdr:cNvGrpSpPr/>
          </xdr:nvGrpSpPr>
          <xdr:grpSpPr>
            <a:xfrm>
              <a:off x="14447908" y="9562219"/>
              <a:ext cx="1724557" cy="285519"/>
              <a:chOff x="16645619" y="1334215"/>
              <a:chExt cx="723663" cy="294819"/>
            </a:xfrm>
          </xdr:grpSpPr>
          <xdr:sp macro="" textlink="">
            <xdr:nvSpPr>
              <xdr:cNvPr id="456" name="Retângulo: Cantos Arredondados 455">
                <a:extLst>
                  <a:ext uri="{FF2B5EF4-FFF2-40B4-BE49-F238E27FC236}">
                    <a16:creationId xmlns:a16="http://schemas.microsoft.com/office/drawing/2014/main" id="{254184D9-5D23-3898-CD0D-66B38349A899}"/>
                  </a:ext>
                </a:extLst>
              </xdr:cNvPr>
              <xdr:cNvSpPr/>
            </xdr:nvSpPr>
            <xdr:spPr>
              <a:xfrm>
                <a:off x="16686057" y="1334507"/>
                <a:ext cx="678327" cy="294236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57" name="Retângulo: Cantos Arredondados 456">
                <a:extLst>
                  <a:ext uri="{FF2B5EF4-FFF2-40B4-BE49-F238E27FC236}">
                    <a16:creationId xmlns:a16="http://schemas.microsoft.com/office/drawing/2014/main" id="{BB18207C-B2D3-C22A-5F7E-D50AF8CC9A1B}"/>
                  </a:ext>
                </a:extLst>
              </xdr:cNvPr>
              <xdr:cNvSpPr/>
            </xdr:nvSpPr>
            <xdr:spPr>
              <a:xfrm>
                <a:off x="16645619" y="1334215"/>
                <a:ext cx="723663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Ardido</a:t>
                </a:r>
              </a:p>
            </xdr:txBody>
          </xdr:sp>
        </xdr:grpSp>
        <xdr:grpSp>
          <xdr:nvGrpSpPr>
            <xdr:cNvPr id="458" name="Agrupar 457">
              <a:extLst>
                <a:ext uri="{FF2B5EF4-FFF2-40B4-BE49-F238E27FC236}">
                  <a16:creationId xmlns:a16="http://schemas.microsoft.com/office/drawing/2014/main" id="{F43220C8-A095-40B2-A18F-9B2D66FAB981}"/>
                </a:ext>
              </a:extLst>
            </xdr:cNvPr>
            <xdr:cNvGrpSpPr/>
          </xdr:nvGrpSpPr>
          <xdr:grpSpPr>
            <a:xfrm>
              <a:off x="14447908" y="10027537"/>
              <a:ext cx="1716936" cy="279716"/>
              <a:chOff x="16645619" y="1334215"/>
              <a:chExt cx="744559" cy="294819"/>
            </a:xfrm>
          </xdr:grpSpPr>
          <xdr:sp macro="" textlink="">
            <xdr:nvSpPr>
              <xdr:cNvPr id="459" name="Retângulo: Cantos Arredondados 458">
                <a:extLst>
                  <a:ext uri="{FF2B5EF4-FFF2-40B4-BE49-F238E27FC236}">
                    <a16:creationId xmlns:a16="http://schemas.microsoft.com/office/drawing/2014/main" id="{3E88392B-14C8-7914-45A6-F60554BDD050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0" name="Retângulo: Cantos Arredondados 459">
                <a:extLst>
                  <a:ext uri="{FF2B5EF4-FFF2-40B4-BE49-F238E27FC236}">
                    <a16:creationId xmlns:a16="http://schemas.microsoft.com/office/drawing/2014/main" id="{176C6994-ABCC-8C86-547C-A1BD0A4CEC4A}"/>
                  </a:ext>
                </a:extLst>
              </xdr:cNvPr>
              <xdr:cNvSpPr/>
            </xdr:nvSpPr>
            <xdr:spPr>
              <a:xfrm>
                <a:off x="16645619" y="1334215"/>
                <a:ext cx="74455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Verde</a:t>
                </a:r>
              </a:p>
            </xdr:txBody>
          </xdr:sp>
        </xdr:grpSp>
        <xdr:grpSp>
          <xdr:nvGrpSpPr>
            <xdr:cNvPr id="461" name="Agrupar 460">
              <a:extLst>
                <a:ext uri="{FF2B5EF4-FFF2-40B4-BE49-F238E27FC236}">
                  <a16:creationId xmlns:a16="http://schemas.microsoft.com/office/drawing/2014/main" id="{E440D670-4B67-4FE1-B92A-340A14C3458A}"/>
                </a:ext>
              </a:extLst>
            </xdr:cNvPr>
            <xdr:cNvGrpSpPr/>
          </xdr:nvGrpSpPr>
          <xdr:grpSpPr>
            <a:xfrm>
              <a:off x="14447908" y="10513899"/>
              <a:ext cx="1716936" cy="302818"/>
              <a:chOff x="16645619" y="1334215"/>
              <a:chExt cx="752054" cy="294819"/>
            </a:xfrm>
          </xdr:grpSpPr>
          <xdr:sp macro="" textlink="">
            <xdr:nvSpPr>
              <xdr:cNvPr id="462" name="Retângulo: Cantos Arredondados 461">
                <a:extLst>
                  <a:ext uri="{FF2B5EF4-FFF2-40B4-BE49-F238E27FC236}">
                    <a16:creationId xmlns:a16="http://schemas.microsoft.com/office/drawing/2014/main" id="{6BEFACCC-7AE1-253B-EB2D-BEF176C8241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3" name="Retângulo: Cantos Arredondados 462">
                <a:extLst>
                  <a:ext uri="{FF2B5EF4-FFF2-40B4-BE49-F238E27FC236}">
                    <a16:creationId xmlns:a16="http://schemas.microsoft.com/office/drawing/2014/main" id="{18ACC1F8-4C61-02F5-7891-59E4DA167B73}"/>
                  </a:ext>
                </a:extLst>
              </xdr:cNvPr>
              <xdr:cNvSpPr/>
            </xdr:nvSpPr>
            <xdr:spPr>
              <a:xfrm>
                <a:off x="16645619" y="1334215"/>
                <a:ext cx="75205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Quebrado</a:t>
                </a:r>
              </a:p>
            </xdr:txBody>
          </xdr:sp>
        </xdr:grpSp>
        <xdr:grpSp>
          <xdr:nvGrpSpPr>
            <xdr:cNvPr id="464" name="Agrupar 463">
              <a:extLst>
                <a:ext uri="{FF2B5EF4-FFF2-40B4-BE49-F238E27FC236}">
                  <a16:creationId xmlns:a16="http://schemas.microsoft.com/office/drawing/2014/main" id="{319B1B39-B7A7-4BBD-B4EA-1684EEDCAB7C}"/>
                </a:ext>
              </a:extLst>
            </xdr:cNvPr>
            <xdr:cNvGrpSpPr/>
          </xdr:nvGrpSpPr>
          <xdr:grpSpPr>
            <a:xfrm>
              <a:off x="14447908" y="11002319"/>
              <a:ext cx="1835920" cy="285519"/>
              <a:chOff x="16645619" y="1334215"/>
              <a:chExt cx="752332" cy="294819"/>
            </a:xfrm>
          </xdr:grpSpPr>
          <xdr:sp macro="" textlink="">
            <xdr:nvSpPr>
              <xdr:cNvPr id="465" name="Retângulo: Cantos Arredondados 464">
                <a:extLst>
                  <a:ext uri="{FF2B5EF4-FFF2-40B4-BE49-F238E27FC236}">
                    <a16:creationId xmlns:a16="http://schemas.microsoft.com/office/drawing/2014/main" id="{69A5BC36-E5F2-861A-D5F0-A91E31780EC1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6" name="Retângulo: Cantos Arredondados 465">
                <a:extLst>
                  <a:ext uri="{FF2B5EF4-FFF2-40B4-BE49-F238E27FC236}">
                    <a16:creationId xmlns:a16="http://schemas.microsoft.com/office/drawing/2014/main" id="{EED0C41B-5ACE-ADCC-5EC4-D27BC23B33C0}"/>
                  </a:ext>
                </a:extLst>
              </xdr:cNvPr>
              <xdr:cNvSpPr/>
            </xdr:nvSpPr>
            <xdr:spPr>
              <a:xfrm>
                <a:off x="16645619" y="1334215"/>
                <a:ext cx="752332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Mau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Granado / Chocho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67" name="Agrupar 466">
              <a:extLst>
                <a:ext uri="{FF2B5EF4-FFF2-40B4-BE49-F238E27FC236}">
                  <a16:creationId xmlns:a16="http://schemas.microsoft.com/office/drawing/2014/main" id="{576D2B1C-653C-4A90-AC4D-A76B281237FF}"/>
                </a:ext>
              </a:extLst>
            </xdr:cNvPr>
            <xdr:cNvGrpSpPr/>
          </xdr:nvGrpSpPr>
          <xdr:grpSpPr>
            <a:xfrm>
              <a:off x="14447908" y="11500110"/>
              <a:ext cx="1724556" cy="279892"/>
              <a:chOff x="16645619" y="1334215"/>
              <a:chExt cx="746233" cy="294819"/>
            </a:xfrm>
          </xdr:grpSpPr>
          <xdr:sp macro="" textlink="">
            <xdr:nvSpPr>
              <xdr:cNvPr id="468" name="Retângulo: Cantos Arredondados 467">
                <a:extLst>
                  <a:ext uri="{FF2B5EF4-FFF2-40B4-BE49-F238E27FC236}">
                    <a16:creationId xmlns:a16="http://schemas.microsoft.com/office/drawing/2014/main" id="{79143AF2-7EE0-3556-FF52-62E25597319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69" name="Retângulo: Cantos Arredondados 468">
                <a:extLst>
                  <a:ext uri="{FF2B5EF4-FFF2-40B4-BE49-F238E27FC236}">
                    <a16:creationId xmlns:a16="http://schemas.microsoft.com/office/drawing/2014/main" id="{06D53B5F-E2AD-19CC-C8A4-C61029C0A85B}"/>
                  </a:ext>
                </a:extLst>
              </xdr:cNvPr>
              <xdr:cNvSpPr/>
            </xdr:nvSpPr>
            <xdr:spPr>
              <a:xfrm>
                <a:off x="16645619" y="1334215"/>
                <a:ext cx="746233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Brocado Limpo</a:t>
                </a:r>
              </a:p>
            </xdr:txBody>
          </xdr:sp>
        </xdr:grpSp>
        <xdr:sp macro="" textlink="">
          <xdr:nvSpPr>
            <xdr:cNvPr id="6" name="Retângulo: Cantos Arredondados 5">
              <a:extLst>
                <a:ext uri="{FF2B5EF4-FFF2-40B4-BE49-F238E27FC236}">
                  <a16:creationId xmlns:a16="http://schemas.microsoft.com/office/drawing/2014/main" id="{213B5D6C-6A5C-4B5E-944E-2AB325458969}"/>
                </a:ext>
              </a:extLst>
            </xdr:cNvPr>
            <xdr:cNvSpPr/>
          </xdr:nvSpPr>
          <xdr:spPr>
            <a:xfrm>
              <a:off x="16304353" y="9060098"/>
              <a:ext cx="829351" cy="28751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" name="Retângulo: Cantos Arredondados 6">
              <a:extLst>
                <a:ext uri="{FF2B5EF4-FFF2-40B4-BE49-F238E27FC236}">
                  <a16:creationId xmlns:a16="http://schemas.microsoft.com/office/drawing/2014/main" id="{E0F699FD-1EBF-408E-9464-64FD2EE26B06}"/>
                </a:ext>
              </a:extLst>
            </xdr:cNvPr>
            <xdr:cNvSpPr/>
          </xdr:nvSpPr>
          <xdr:spPr>
            <a:xfrm>
              <a:off x="16304353" y="8564468"/>
              <a:ext cx="829351" cy="289417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Retângulo: Cantos Arredondados 7">
              <a:extLst>
                <a:ext uri="{FF2B5EF4-FFF2-40B4-BE49-F238E27FC236}">
                  <a16:creationId xmlns:a16="http://schemas.microsoft.com/office/drawing/2014/main" id="{D1A9DF1E-7720-4BA9-95A7-EC1A4E5BEDEE}"/>
                </a:ext>
              </a:extLst>
            </xdr:cNvPr>
            <xdr:cNvSpPr/>
          </xdr:nvSpPr>
          <xdr:spPr>
            <a:xfrm>
              <a:off x="16304353" y="10032309"/>
              <a:ext cx="829351" cy="28357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: Cantos Arredondados 8">
              <a:extLst>
                <a:ext uri="{FF2B5EF4-FFF2-40B4-BE49-F238E27FC236}">
                  <a16:creationId xmlns:a16="http://schemas.microsoft.com/office/drawing/2014/main" id="{0414D811-192A-4914-B2F1-F26082E11632}"/>
                </a:ext>
              </a:extLst>
            </xdr:cNvPr>
            <xdr:cNvSpPr/>
          </xdr:nvSpPr>
          <xdr:spPr>
            <a:xfrm>
              <a:off x="16304353" y="9540489"/>
              <a:ext cx="829351" cy="314314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2" name="Retângulo: Cantos Arredondados 11">
              <a:extLst>
                <a:ext uri="{FF2B5EF4-FFF2-40B4-BE49-F238E27FC236}">
                  <a16:creationId xmlns:a16="http://schemas.microsoft.com/office/drawing/2014/main" id="{63992902-C076-40F2-A47D-90B9A309A79E}"/>
                </a:ext>
              </a:extLst>
            </xdr:cNvPr>
            <xdr:cNvSpPr/>
          </xdr:nvSpPr>
          <xdr:spPr>
            <a:xfrm>
              <a:off x="16304353" y="11004478"/>
              <a:ext cx="829351" cy="28368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: Cantos Arredondados 13">
              <a:extLst>
                <a:ext uri="{FF2B5EF4-FFF2-40B4-BE49-F238E27FC236}">
                  <a16:creationId xmlns:a16="http://schemas.microsoft.com/office/drawing/2014/main" id="{42B2064A-DD1C-4245-AB51-F82D46AEE75A}"/>
                </a:ext>
              </a:extLst>
            </xdr:cNvPr>
            <xdr:cNvSpPr/>
          </xdr:nvSpPr>
          <xdr:spPr>
            <a:xfrm>
              <a:off x="16304353" y="10522204"/>
              <a:ext cx="829351" cy="27214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9E84580A-55F6-4FA9-8B2F-1F46F97D1BAA}"/>
                </a:ext>
              </a:extLst>
            </xdr:cNvPr>
            <xdr:cNvSpPr/>
          </xdr:nvSpPr>
          <xdr:spPr>
            <a:xfrm>
              <a:off x="16308164" y="12015588"/>
              <a:ext cx="847521" cy="29132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8EEB841D-39C8-443C-8266-27239DC3579E}"/>
                </a:ext>
              </a:extLst>
            </xdr:cNvPr>
            <xdr:cNvSpPr/>
          </xdr:nvSpPr>
          <xdr:spPr>
            <a:xfrm>
              <a:off x="16308163" y="11509864"/>
              <a:ext cx="829351" cy="28935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9" name="Agrupar 28">
              <a:extLst>
                <a:ext uri="{FF2B5EF4-FFF2-40B4-BE49-F238E27FC236}">
                  <a16:creationId xmlns:a16="http://schemas.microsoft.com/office/drawing/2014/main" id="{EDB03EFA-E0DD-4CAA-BB9F-FED05CD32A53}"/>
                </a:ext>
              </a:extLst>
            </xdr:cNvPr>
            <xdr:cNvGrpSpPr/>
          </xdr:nvGrpSpPr>
          <xdr:grpSpPr>
            <a:xfrm>
              <a:off x="14473905" y="11978895"/>
              <a:ext cx="1705505" cy="291410"/>
              <a:chOff x="16645619" y="1334215"/>
              <a:chExt cx="741710" cy="294819"/>
            </a:xfrm>
          </xdr:grpSpPr>
          <xdr:sp macro="" textlink="">
            <xdr:nvSpPr>
              <xdr:cNvPr id="30" name="Retângulo: Cantos Arredondados 29">
                <a:extLst>
                  <a:ext uri="{FF2B5EF4-FFF2-40B4-BE49-F238E27FC236}">
                    <a16:creationId xmlns:a16="http://schemas.microsoft.com/office/drawing/2014/main" id="{3A4B7592-999D-9A4D-2980-0ECA9893B543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84FE0B54-9F08-E7F7-9514-DEB4FA1DDCB1}"/>
                  </a:ext>
                </a:extLst>
              </xdr:cNvPr>
              <xdr:cNvSpPr/>
            </xdr:nvSpPr>
            <xdr:spPr>
              <a:xfrm>
                <a:off x="16645619" y="1334215"/>
                <a:ext cx="73583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Brocado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Sujo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95" name="Agrupar 94">
              <a:extLst>
                <a:ext uri="{FF2B5EF4-FFF2-40B4-BE49-F238E27FC236}">
                  <a16:creationId xmlns:a16="http://schemas.microsoft.com/office/drawing/2014/main" id="{C4D77B76-5DDF-48A3-BB67-A1D219E69EFD}"/>
                </a:ext>
              </a:extLst>
            </xdr:cNvPr>
            <xdr:cNvGrpSpPr/>
          </xdr:nvGrpSpPr>
          <xdr:grpSpPr>
            <a:xfrm>
              <a:off x="17247507" y="8560658"/>
              <a:ext cx="1741704" cy="287336"/>
              <a:chOff x="16645619" y="1334215"/>
              <a:chExt cx="741710" cy="294819"/>
            </a:xfrm>
          </xdr:grpSpPr>
          <xdr:sp macro="" textlink="">
            <xdr:nvSpPr>
              <xdr:cNvPr id="109" name="Retângulo: Cantos Arredondados 108">
                <a:extLst>
                  <a:ext uri="{FF2B5EF4-FFF2-40B4-BE49-F238E27FC236}">
                    <a16:creationId xmlns:a16="http://schemas.microsoft.com/office/drawing/2014/main" id="{5E8E0C11-DDB0-E4D1-A5AF-6FAB1F0EE6DA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15" name="Retângulo: Cantos Arredondados 514">
                <a:extLst>
                  <a:ext uri="{FF2B5EF4-FFF2-40B4-BE49-F238E27FC236}">
                    <a16:creationId xmlns:a16="http://schemas.microsoft.com/office/drawing/2014/main" id="{62B61D5A-A793-E075-1894-5E97407D0952}"/>
                  </a:ext>
                </a:extLst>
              </xdr:cNvPr>
              <xdr:cNvSpPr/>
            </xdr:nvSpPr>
            <xdr:spPr>
              <a:xfrm>
                <a:off x="16645619" y="1334215"/>
                <a:ext cx="72931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Coco</a:t>
                </a:r>
              </a:p>
            </xdr:txBody>
          </xdr:sp>
        </xdr:grpSp>
        <xdr:grpSp>
          <xdr:nvGrpSpPr>
            <xdr:cNvPr id="516" name="Agrupar 515">
              <a:extLst>
                <a:ext uri="{FF2B5EF4-FFF2-40B4-BE49-F238E27FC236}">
                  <a16:creationId xmlns:a16="http://schemas.microsoft.com/office/drawing/2014/main" id="{9CBD2EA0-4F58-479C-A51C-E534BD27E674}"/>
                </a:ext>
              </a:extLst>
            </xdr:cNvPr>
            <xdr:cNvGrpSpPr/>
          </xdr:nvGrpSpPr>
          <xdr:grpSpPr>
            <a:xfrm>
              <a:off x="17247510" y="9062003"/>
              <a:ext cx="1728368" cy="289351"/>
              <a:chOff x="16645619" y="1334215"/>
              <a:chExt cx="748279" cy="294819"/>
            </a:xfrm>
          </xdr:grpSpPr>
          <xdr:sp macro="" textlink="">
            <xdr:nvSpPr>
              <xdr:cNvPr id="517" name="Retângulo: Cantos Arredondados 516">
                <a:extLst>
                  <a:ext uri="{FF2B5EF4-FFF2-40B4-BE49-F238E27FC236}">
                    <a16:creationId xmlns:a16="http://schemas.microsoft.com/office/drawing/2014/main" id="{39981449-4466-55AB-BF03-0B0D7C1109BA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18" name="Retângulo: Cantos Arredondados 517">
                <a:extLst>
                  <a:ext uri="{FF2B5EF4-FFF2-40B4-BE49-F238E27FC236}">
                    <a16:creationId xmlns:a16="http://schemas.microsoft.com/office/drawing/2014/main" id="{F4B1E04B-2C06-E53E-A502-ECFEB525F3C9}"/>
                  </a:ext>
                </a:extLst>
              </xdr:cNvPr>
              <xdr:cNvSpPr/>
            </xdr:nvSpPr>
            <xdr:spPr>
              <a:xfrm>
                <a:off x="16645619" y="1334215"/>
                <a:ext cx="74827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Marinheiro</a:t>
                </a:r>
              </a:p>
            </xdr:txBody>
          </xdr:sp>
        </xdr:grpSp>
        <xdr:grpSp>
          <xdr:nvGrpSpPr>
            <xdr:cNvPr id="519" name="Agrupar 518">
              <a:extLst>
                <a:ext uri="{FF2B5EF4-FFF2-40B4-BE49-F238E27FC236}">
                  <a16:creationId xmlns:a16="http://schemas.microsoft.com/office/drawing/2014/main" id="{CB1C113C-08D1-4F96-B4F0-48A53BE01644}"/>
                </a:ext>
              </a:extLst>
            </xdr:cNvPr>
            <xdr:cNvGrpSpPr/>
          </xdr:nvGrpSpPr>
          <xdr:grpSpPr>
            <a:xfrm>
              <a:off x="17251319" y="9532693"/>
              <a:ext cx="1716937" cy="279848"/>
              <a:chOff x="16645619" y="1334215"/>
              <a:chExt cx="741710" cy="294819"/>
            </a:xfrm>
          </xdr:grpSpPr>
          <xdr:sp macro="" textlink="">
            <xdr:nvSpPr>
              <xdr:cNvPr id="520" name="Retângulo: Cantos Arredondados 519">
                <a:extLst>
                  <a:ext uri="{FF2B5EF4-FFF2-40B4-BE49-F238E27FC236}">
                    <a16:creationId xmlns:a16="http://schemas.microsoft.com/office/drawing/2014/main" id="{DD448124-01DF-6A7A-BDF8-74DACBE186FC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27" name="Retângulo: Cantos Arredondados 526">
                <a:extLst>
                  <a:ext uri="{FF2B5EF4-FFF2-40B4-BE49-F238E27FC236}">
                    <a16:creationId xmlns:a16="http://schemas.microsoft.com/office/drawing/2014/main" id="{3393601D-0517-AD18-92E4-DC519ABCBA20}"/>
                  </a:ext>
                </a:extLst>
              </xdr:cNvPr>
              <xdr:cNvSpPr/>
            </xdr:nvSpPr>
            <xdr:spPr>
              <a:xfrm>
                <a:off x="16645619" y="1334215"/>
                <a:ext cx="73871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Casca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GD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28" name="Agrupar 527">
              <a:extLst>
                <a:ext uri="{FF2B5EF4-FFF2-40B4-BE49-F238E27FC236}">
                  <a16:creationId xmlns:a16="http://schemas.microsoft.com/office/drawing/2014/main" id="{92B45081-68AC-4BC7-9DC7-60A0FF03CC68}"/>
                </a:ext>
              </a:extLst>
            </xdr:cNvPr>
            <xdr:cNvGrpSpPr/>
          </xdr:nvGrpSpPr>
          <xdr:grpSpPr>
            <a:xfrm>
              <a:off x="17247496" y="10028411"/>
              <a:ext cx="1728368" cy="289373"/>
              <a:chOff x="16645619" y="1334215"/>
              <a:chExt cx="746422" cy="294819"/>
            </a:xfrm>
          </xdr:grpSpPr>
          <xdr:sp macro="" textlink="">
            <xdr:nvSpPr>
              <xdr:cNvPr id="529" name="Retângulo: Cantos Arredondados 528">
                <a:extLst>
                  <a:ext uri="{FF2B5EF4-FFF2-40B4-BE49-F238E27FC236}">
                    <a16:creationId xmlns:a16="http://schemas.microsoft.com/office/drawing/2014/main" id="{1A453C0F-F151-20CC-725A-F39733ED1E48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30" name="Retângulo: Cantos Arredondados 529">
                <a:extLst>
                  <a:ext uri="{FF2B5EF4-FFF2-40B4-BE49-F238E27FC236}">
                    <a16:creationId xmlns:a16="http://schemas.microsoft.com/office/drawing/2014/main" id="{75952C4C-B4CC-08A5-F707-14FC7A76D791}"/>
                  </a:ext>
                </a:extLst>
              </xdr:cNvPr>
              <xdr:cNvSpPr/>
            </xdr:nvSpPr>
            <xdr:spPr>
              <a:xfrm>
                <a:off x="16645619" y="1334215"/>
                <a:ext cx="746422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Casca MD 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ou PQ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31" name="Agrupar 530">
              <a:extLst>
                <a:ext uri="{FF2B5EF4-FFF2-40B4-BE49-F238E27FC236}">
                  <a16:creationId xmlns:a16="http://schemas.microsoft.com/office/drawing/2014/main" id="{857327E8-5493-48E9-87F1-E214AB835A5D}"/>
                </a:ext>
              </a:extLst>
            </xdr:cNvPr>
            <xdr:cNvGrpSpPr/>
          </xdr:nvGrpSpPr>
          <xdr:grpSpPr>
            <a:xfrm>
              <a:off x="17251327" y="10504948"/>
              <a:ext cx="1716937" cy="283658"/>
              <a:chOff x="16645619" y="1334215"/>
              <a:chExt cx="754303" cy="294819"/>
            </a:xfrm>
          </xdr:grpSpPr>
          <xdr:sp macro="" textlink="">
            <xdr:nvSpPr>
              <xdr:cNvPr id="532" name="Retângulo: Cantos Arredondados 531">
                <a:extLst>
                  <a:ext uri="{FF2B5EF4-FFF2-40B4-BE49-F238E27FC236}">
                    <a16:creationId xmlns:a16="http://schemas.microsoft.com/office/drawing/2014/main" id="{A2C1DC4B-F1FE-CC66-0CE6-6734891A2F62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33" name="Retângulo: Cantos Arredondados 532">
                <a:extLst>
                  <a:ext uri="{FF2B5EF4-FFF2-40B4-BE49-F238E27FC236}">
                    <a16:creationId xmlns:a16="http://schemas.microsoft.com/office/drawing/2014/main" id="{ED980BAC-1F44-9581-E155-E56575881D49}"/>
                  </a:ext>
                </a:extLst>
              </xdr:cNvPr>
              <xdr:cNvSpPr/>
            </xdr:nvSpPr>
            <xdr:spPr>
              <a:xfrm>
                <a:off x="16645619" y="1334215"/>
                <a:ext cx="754303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Fragmento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de Casca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34" name="Agrupar 533">
              <a:extLst>
                <a:ext uri="{FF2B5EF4-FFF2-40B4-BE49-F238E27FC236}">
                  <a16:creationId xmlns:a16="http://schemas.microsoft.com/office/drawing/2014/main" id="{8BBEA6D4-259A-4F28-B162-197BABD2FD23}"/>
                </a:ext>
              </a:extLst>
            </xdr:cNvPr>
            <xdr:cNvGrpSpPr/>
          </xdr:nvGrpSpPr>
          <xdr:grpSpPr>
            <a:xfrm>
              <a:off x="17251308" y="11004432"/>
              <a:ext cx="1716937" cy="283746"/>
              <a:chOff x="16645619" y="1334215"/>
              <a:chExt cx="744674" cy="294819"/>
            </a:xfrm>
          </xdr:grpSpPr>
          <xdr:sp macro="" textlink="">
            <xdr:nvSpPr>
              <xdr:cNvPr id="535" name="Retângulo: Cantos Arredondados 534">
                <a:extLst>
                  <a:ext uri="{FF2B5EF4-FFF2-40B4-BE49-F238E27FC236}">
                    <a16:creationId xmlns:a16="http://schemas.microsoft.com/office/drawing/2014/main" id="{B7423654-6036-475D-779A-315BFC7E6FB3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36" name="Retângulo: Cantos Arredondados 535">
                <a:extLst>
                  <a:ext uri="{FF2B5EF4-FFF2-40B4-BE49-F238E27FC236}">
                    <a16:creationId xmlns:a16="http://schemas.microsoft.com/office/drawing/2014/main" id="{481457AC-F921-46E3-D8E9-79E33B1D5DF7}"/>
                  </a:ext>
                </a:extLst>
              </xdr:cNvPr>
              <xdr:cNvSpPr/>
            </xdr:nvSpPr>
            <xdr:spPr>
              <a:xfrm>
                <a:off x="16645619" y="1334215"/>
                <a:ext cx="74467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Pau/Pedra/Torrão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</a:t>
                </a:r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GD</a:t>
                </a:r>
              </a:p>
            </xdr:txBody>
          </xdr:sp>
        </xdr:grpSp>
        <xdr:grpSp>
          <xdr:nvGrpSpPr>
            <xdr:cNvPr id="539" name="Agrupar 538">
              <a:extLst>
                <a:ext uri="{FF2B5EF4-FFF2-40B4-BE49-F238E27FC236}">
                  <a16:creationId xmlns:a16="http://schemas.microsoft.com/office/drawing/2014/main" id="{BC1A0D16-E10B-4E15-AFC0-3F7DCB77F454}"/>
                </a:ext>
              </a:extLst>
            </xdr:cNvPr>
            <xdr:cNvGrpSpPr/>
          </xdr:nvGrpSpPr>
          <xdr:grpSpPr>
            <a:xfrm>
              <a:off x="17251326" y="11500110"/>
              <a:ext cx="1716937" cy="277833"/>
              <a:chOff x="16645619" y="1334215"/>
              <a:chExt cx="741710" cy="294819"/>
            </a:xfrm>
          </xdr:grpSpPr>
          <xdr:sp macro="" textlink="">
            <xdr:nvSpPr>
              <xdr:cNvPr id="540" name="Retângulo: Cantos Arredondados 539">
                <a:extLst>
                  <a:ext uri="{FF2B5EF4-FFF2-40B4-BE49-F238E27FC236}">
                    <a16:creationId xmlns:a16="http://schemas.microsoft.com/office/drawing/2014/main" id="{8AE3E890-DF02-BCD5-DBC0-D5667654DB6C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41" name="Retângulo: Cantos Arredondados 540">
                <a:extLst>
                  <a:ext uri="{FF2B5EF4-FFF2-40B4-BE49-F238E27FC236}">
                    <a16:creationId xmlns:a16="http://schemas.microsoft.com/office/drawing/2014/main" id="{29667438-3042-C5A9-9949-77EB396FB689}"/>
                  </a:ext>
                </a:extLst>
              </xdr:cNvPr>
              <xdr:cNvSpPr/>
            </xdr:nvSpPr>
            <xdr:spPr>
              <a:xfrm>
                <a:off x="16645619" y="1334215"/>
                <a:ext cx="73711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Pau/Pedra/Torrão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</a:t>
                </a:r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MD</a:t>
                </a:r>
              </a:p>
            </xdr:txBody>
          </xdr:sp>
        </xdr:grpSp>
        <xdr:sp macro="" textlink="">
          <xdr:nvSpPr>
            <xdr:cNvPr id="542" name="Retângulo: Cantos Arredondados 541">
              <a:extLst>
                <a:ext uri="{FF2B5EF4-FFF2-40B4-BE49-F238E27FC236}">
                  <a16:creationId xmlns:a16="http://schemas.microsoft.com/office/drawing/2014/main" id="{C8B1BF83-FDEB-4E0C-8F86-B8A69EFF749E}"/>
                </a:ext>
              </a:extLst>
            </xdr:cNvPr>
            <xdr:cNvSpPr/>
          </xdr:nvSpPr>
          <xdr:spPr>
            <a:xfrm>
              <a:off x="19102044" y="9068083"/>
              <a:ext cx="833161" cy="32495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3" name="Retângulo: Cantos Arredondados 542">
              <a:extLst>
                <a:ext uri="{FF2B5EF4-FFF2-40B4-BE49-F238E27FC236}">
                  <a16:creationId xmlns:a16="http://schemas.microsoft.com/office/drawing/2014/main" id="{77493A1C-ECE3-4263-B104-7E8BB5EE326D}"/>
                </a:ext>
              </a:extLst>
            </xdr:cNvPr>
            <xdr:cNvSpPr/>
          </xdr:nvSpPr>
          <xdr:spPr>
            <a:xfrm>
              <a:off x="19109664" y="8564468"/>
              <a:ext cx="836971" cy="31540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4" name="Retângulo: Cantos Arredondados 543">
              <a:extLst>
                <a:ext uri="{FF2B5EF4-FFF2-40B4-BE49-F238E27FC236}">
                  <a16:creationId xmlns:a16="http://schemas.microsoft.com/office/drawing/2014/main" id="{AFFDF842-6B82-4CBF-8E30-01668280FE81}"/>
                </a:ext>
              </a:extLst>
            </xdr:cNvPr>
            <xdr:cNvSpPr/>
          </xdr:nvSpPr>
          <xdr:spPr>
            <a:xfrm>
              <a:off x="19102044" y="10067517"/>
              <a:ext cx="833161" cy="272968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5" name="Retângulo: Cantos Arredondados 544">
              <a:extLst>
                <a:ext uri="{FF2B5EF4-FFF2-40B4-BE49-F238E27FC236}">
                  <a16:creationId xmlns:a16="http://schemas.microsoft.com/office/drawing/2014/main" id="{D7B291E8-FBAF-4B2A-B4CE-4459825CD524}"/>
                </a:ext>
              </a:extLst>
            </xdr:cNvPr>
            <xdr:cNvSpPr/>
          </xdr:nvSpPr>
          <xdr:spPr>
            <a:xfrm>
              <a:off x="19102044" y="9577391"/>
              <a:ext cx="833161" cy="301917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6" name="Retângulo: Cantos Arredondados 545">
              <a:extLst>
                <a:ext uri="{FF2B5EF4-FFF2-40B4-BE49-F238E27FC236}">
                  <a16:creationId xmlns:a16="http://schemas.microsoft.com/office/drawing/2014/main" id="{55CDD39C-F931-41B8-BBC4-634C0FAD946F}"/>
                </a:ext>
              </a:extLst>
            </xdr:cNvPr>
            <xdr:cNvSpPr/>
          </xdr:nvSpPr>
          <xdr:spPr>
            <a:xfrm>
              <a:off x="19102044" y="11037958"/>
              <a:ext cx="833161" cy="282669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7" name="Retângulo: Cantos Arredondados 546">
              <a:extLst>
                <a:ext uri="{FF2B5EF4-FFF2-40B4-BE49-F238E27FC236}">
                  <a16:creationId xmlns:a16="http://schemas.microsoft.com/office/drawing/2014/main" id="{AFCD7897-87D4-4807-AD96-DADE8AECC14A}"/>
                </a:ext>
              </a:extLst>
            </xdr:cNvPr>
            <xdr:cNvSpPr/>
          </xdr:nvSpPr>
          <xdr:spPr>
            <a:xfrm>
              <a:off x="19102044" y="10530533"/>
              <a:ext cx="833161" cy="313566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49" name="Retângulo: Cantos Arredondados 548">
              <a:extLst>
                <a:ext uri="{FF2B5EF4-FFF2-40B4-BE49-F238E27FC236}">
                  <a16:creationId xmlns:a16="http://schemas.microsoft.com/office/drawing/2014/main" id="{038A5496-DEEC-4EC4-BDB4-D6552F5E0E39}"/>
                </a:ext>
              </a:extLst>
            </xdr:cNvPr>
            <xdr:cNvSpPr/>
          </xdr:nvSpPr>
          <xdr:spPr>
            <a:xfrm>
              <a:off x="19109664" y="11510743"/>
              <a:ext cx="829351" cy="292326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9D8B0E59-03D2-0672-C011-1A9A7605BE86}"/>
                </a:ext>
              </a:extLst>
            </xdr:cNvPr>
            <xdr:cNvGrpSpPr/>
          </xdr:nvGrpSpPr>
          <xdr:grpSpPr>
            <a:xfrm>
              <a:off x="19987377" y="8075399"/>
              <a:ext cx="1515197" cy="302840"/>
              <a:chOff x="16647428" y="1500187"/>
              <a:chExt cx="981111" cy="294818"/>
            </a:xfrm>
          </xdr:grpSpPr>
          <xdr:sp macro="" textlink="">
            <xdr:nvSpPr>
              <xdr:cNvPr id="17" name="Retângulo: Cantos Arredondados 16">
                <a:extLst>
                  <a:ext uri="{FF2B5EF4-FFF2-40B4-BE49-F238E27FC236}">
                    <a16:creationId xmlns:a16="http://schemas.microsoft.com/office/drawing/2014/main" id="{1084F4F2-8BF7-A11C-4E8C-A1CCCAAC59C1}"/>
                  </a:ext>
                </a:extLst>
              </xdr:cNvPr>
              <xdr:cNvSpPr/>
            </xdr:nvSpPr>
            <xdr:spPr>
              <a:xfrm>
                <a:off x="16710539" y="1500187"/>
                <a:ext cx="918000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5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23" name="Retângulo: Cantos Arredondados 22">
                <a:extLst>
                  <a:ext uri="{FF2B5EF4-FFF2-40B4-BE49-F238E27FC236}">
                    <a16:creationId xmlns:a16="http://schemas.microsoft.com/office/drawing/2014/main" id="{2CC31E6E-7D13-6102-D705-1A7F09D87581}"/>
                  </a:ext>
                </a:extLst>
              </xdr:cNvPr>
              <xdr:cNvSpPr/>
            </xdr:nvSpPr>
            <xdr:spPr>
              <a:xfrm>
                <a:off x="16647428" y="1500187"/>
                <a:ext cx="977448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500" b="1">
                    <a:solidFill>
                      <a:srgbClr val="92D05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Peneiras</a:t>
                </a:r>
              </a:p>
            </xdr:txBody>
          </xdr:sp>
        </xdr:grpSp>
        <xdr:grpSp>
          <xdr:nvGrpSpPr>
            <xdr:cNvPr id="489" name="Agrupar 488">
              <a:extLst>
                <a:ext uri="{FF2B5EF4-FFF2-40B4-BE49-F238E27FC236}">
                  <a16:creationId xmlns:a16="http://schemas.microsoft.com/office/drawing/2014/main" id="{8CD74F39-4C0E-4FC5-BC77-85E010E45335}"/>
                </a:ext>
              </a:extLst>
            </xdr:cNvPr>
            <xdr:cNvGrpSpPr/>
          </xdr:nvGrpSpPr>
          <xdr:grpSpPr>
            <a:xfrm>
              <a:off x="20121285" y="10496488"/>
              <a:ext cx="874880" cy="287578"/>
              <a:chOff x="16645619" y="1334215"/>
              <a:chExt cx="778530" cy="294819"/>
            </a:xfrm>
          </xdr:grpSpPr>
          <xdr:sp macro="" textlink="">
            <xdr:nvSpPr>
              <xdr:cNvPr id="490" name="Retângulo: Cantos Arredondados 489">
                <a:extLst>
                  <a:ext uri="{FF2B5EF4-FFF2-40B4-BE49-F238E27FC236}">
                    <a16:creationId xmlns:a16="http://schemas.microsoft.com/office/drawing/2014/main" id="{E15DD35F-46E4-165C-7874-C6EC30E738A8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91" name="Retângulo: Cantos Arredondados 490">
                <a:extLst>
                  <a:ext uri="{FF2B5EF4-FFF2-40B4-BE49-F238E27FC236}">
                    <a16:creationId xmlns:a16="http://schemas.microsoft.com/office/drawing/2014/main" id="{B9CE5B89-B2EE-64C4-BB24-3B3BEA5C8FBE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17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92" name="Agrupar 491">
              <a:extLst>
                <a:ext uri="{FF2B5EF4-FFF2-40B4-BE49-F238E27FC236}">
                  <a16:creationId xmlns:a16="http://schemas.microsoft.com/office/drawing/2014/main" id="{AEF5E8C3-D9ED-4A6F-910F-F3A4E5D41AC5}"/>
                </a:ext>
              </a:extLst>
            </xdr:cNvPr>
            <xdr:cNvGrpSpPr/>
          </xdr:nvGrpSpPr>
          <xdr:grpSpPr>
            <a:xfrm>
              <a:off x="20121285" y="11003148"/>
              <a:ext cx="874880" cy="281841"/>
              <a:chOff x="16645619" y="1334215"/>
              <a:chExt cx="756305" cy="294819"/>
            </a:xfrm>
          </xdr:grpSpPr>
          <xdr:sp macro="" textlink="">
            <xdr:nvSpPr>
              <xdr:cNvPr id="493" name="Retângulo: Cantos Arredondados 492">
                <a:extLst>
                  <a:ext uri="{FF2B5EF4-FFF2-40B4-BE49-F238E27FC236}">
                    <a16:creationId xmlns:a16="http://schemas.microsoft.com/office/drawing/2014/main" id="{642AA6B5-A3B8-A156-A524-EB72618CF48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94" name="Retângulo: Cantos Arredondados 493">
                <a:extLst>
                  <a:ext uri="{FF2B5EF4-FFF2-40B4-BE49-F238E27FC236}">
                    <a16:creationId xmlns:a16="http://schemas.microsoft.com/office/drawing/2014/main" id="{76AE68A3-0538-4C14-20EE-77FF6FB4C4B1}"/>
                  </a:ext>
                </a:extLst>
              </xdr:cNvPr>
              <xdr:cNvSpPr/>
            </xdr:nvSpPr>
            <xdr:spPr>
              <a:xfrm>
                <a:off x="16645619" y="1334215"/>
                <a:ext cx="756305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11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95" name="Agrupar 494">
              <a:extLst>
                <a:ext uri="{FF2B5EF4-FFF2-40B4-BE49-F238E27FC236}">
                  <a16:creationId xmlns:a16="http://schemas.microsoft.com/office/drawing/2014/main" id="{AB17E46E-11A6-4DEC-AC25-E8E1992E02BC}"/>
                </a:ext>
              </a:extLst>
            </xdr:cNvPr>
            <xdr:cNvGrpSpPr/>
          </xdr:nvGrpSpPr>
          <xdr:grpSpPr>
            <a:xfrm>
              <a:off x="20121285" y="11463695"/>
              <a:ext cx="874880" cy="310416"/>
              <a:chOff x="16645619" y="1334215"/>
              <a:chExt cx="778530" cy="294819"/>
            </a:xfrm>
          </xdr:grpSpPr>
          <xdr:sp macro="" textlink="">
            <xdr:nvSpPr>
              <xdr:cNvPr id="496" name="Retângulo: Cantos Arredondados 495">
                <a:extLst>
                  <a:ext uri="{FF2B5EF4-FFF2-40B4-BE49-F238E27FC236}">
                    <a16:creationId xmlns:a16="http://schemas.microsoft.com/office/drawing/2014/main" id="{DB357C1F-06DB-8075-BB56-00161F30D99D}"/>
                  </a:ext>
                </a:extLst>
              </xdr:cNvPr>
              <xdr:cNvSpPr/>
            </xdr:nvSpPr>
            <xdr:spPr>
              <a:xfrm>
                <a:off x="16686057" y="1334507"/>
                <a:ext cx="692988" cy="294236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97" name="Retângulo: Cantos Arredondados 496">
                <a:extLst>
                  <a:ext uri="{FF2B5EF4-FFF2-40B4-BE49-F238E27FC236}">
                    <a16:creationId xmlns:a16="http://schemas.microsoft.com/office/drawing/2014/main" id="{F5336EAB-E815-3896-7840-C623CC032B4D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16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60" name="Agrupar 559">
              <a:extLst>
                <a:ext uri="{FF2B5EF4-FFF2-40B4-BE49-F238E27FC236}">
                  <a16:creationId xmlns:a16="http://schemas.microsoft.com/office/drawing/2014/main" id="{3A7833DD-C132-3297-71B8-824923D44F19}"/>
                </a:ext>
              </a:extLst>
            </xdr:cNvPr>
            <xdr:cNvGrpSpPr/>
          </xdr:nvGrpSpPr>
          <xdr:grpSpPr>
            <a:xfrm>
              <a:off x="20121285" y="10013040"/>
              <a:ext cx="874880" cy="295176"/>
              <a:chOff x="16645619" y="1334215"/>
              <a:chExt cx="741710" cy="294819"/>
            </a:xfrm>
          </xdr:grpSpPr>
          <xdr:sp macro="" textlink="">
            <xdr:nvSpPr>
              <xdr:cNvPr id="561" name="Retângulo: Cantos Arredondados 560">
                <a:extLst>
                  <a:ext uri="{FF2B5EF4-FFF2-40B4-BE49-F238E27FC236}">
                    <a16:creationId xmlns:a16="http://schemas.microsoft.com/office/drawing/2014/main" id="{7C47FB74-2D87-A5DC-AFE8-0BB947274DAE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62" name="Retângulo: Cantos Arredondados 561">
                <a:extLst>
                  <a:ext uri="{FF2B5EF4-FFF2-40B4-BE49-F238E27FC236}">
                    <a16:creationId xmlns:a16="http://schemas.microsoft.com/office/drawing/2014/main" id="{9D981667-C653-4F1D-8693-55A69455BA14}"/>
                  </a:ext>
                </a:extLst>
              </xdr:cNvPr>
              <xdr:cNvSpPr/>
            </xdr:nvSpPr>
            <xdr:spPr>
              <a:xfrm>
                <a:off x="16645619" y="1334215"/>
                <a:ext cx="726707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12 </a:t>
                </a:r>
                <a:r>
                  <a:rPr lang="pt-BR" sz="1100" b="1">
                    <a:solidFill>
                      <a:schemeClr val="lt1"/>
                    </a:solidFill>
                    <a:effectLst/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rPr>
                  <a:t>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69" name="Agrupar 568">
              <a:extLst>
                <a:ext uri="{FF2B5EF4-FFF2-40B4-BE49-F238E27FC236}">
                  <a16:creationId xmlns:a16="http://schemas.microsoft.com/office/drawing/2014/main" id="{622AA725-6B67-9A53-4C10-0A5C4C66D0C2}"/>
                </a:ext>
              </a:extLst>
            </xdr:cNvPr>
            <xdr:cNvGrpSpPr/>
          </xdr:nvGrpSpPr>
          <xdr:grpSpPr>
            <a:xfrm>
              <a:off x="20121285" y="9531343"/>
              <a:ext cx="874880" cy="279980"/>
              <a:chOff x="16645619" y="1334215"/>
              <a:chExt cx="756590" cy="294819"/>
            </a:xfrm>
          </xdr:grpSpPr>
          <xdr:sp macro="" textlink="">
            <xdr:nvSpPr>
              <xdr:cNvPr id="570" name="Retângulo: Cantos Arredondados 569">
                <a:extLst>
                  <a:ext uri="{FF2B5EF4-FFF2-40B4-BE49-F238E27FC236}">
                    <a16:creationId xmlns:a16="http://schemas.microsoft.com/office/drawing/2014/main" id="{FB834B29-49DB-A14C-12BD-9BB4B6799474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71" name="Retângulo: Cantos Arredondados 570">
                <a:extLst>
                  <a:ext uri="{FF2B5EF4-FFF2-40B4-BE49-F238E27FC236}">
                    <a16:creationId xmlns:a16="http://schemas.microsoft.com/office/drawing/2014/main" id="{FEB959F4-4AA1-2EBE-E5B2-B6A6C80F3F80}"/>
                  </a:ext>
                </a:extLst>
              </xdr:cNvPr>
              <xdr:cNvSpPr/>
            </xdr:nvSpPr>
            <xdr:spPr>
              <a:xfrm>
                <a:off x="16645619" y="1334215"/>
                <a:ext cx="75659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18 Chato</a:t>
                </a:r>
              </a:p>
            </xdr:txBody>
          </xdr:sp>
        </xdr:grpSp>
        <xdr:sp macro="" textlink="">
          <xdr:nvSpPr>
            <xdr:cNvPr id="574" name="Retângulo: Cantos Arredondados 573">
              <a:extLst>
                <a:ext uri="{FF2B5EF4-FFF2-40B4-BE49-F238E27FC236}">
                  <a16:creationId xmlns:a16="http://schemas.microsoft.com/office/drawing/2014/main" id="{1DFB7BC0-1A4F-48F7-8D7E-5789C95E200A}"/>
                </a:ext>
              </a:extLst>
            </xdr:cNvPr>
            <xdr:cNvSpPr/>
          </xdr:nvSpPr>
          <xdr:spPr>
            <a:xfrm>
              <a:off x="21077596" y="10072248"/>
              <a:ext cx="840781" cy="27888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34" name="Retângulo: Cantos Arredondados 133">
              <a:extLst>
                <a:ext uri="{FF2B5EF4-FFF2-40B4-BE49-F238E27FC236}">
                  <a16:creationId xmlns:a16="http://schemas.microsoft.com/office/drawing/2014/main" id="{39634315-D289-4AC7-A9EF-DD15D6C2BC88}"/>
                </a:ext>
              </a:extLst>
            </xdr:cNvPr>
            <xdr:cNvSpPr/>
          </xdr:nvSpPr>
          <xdr:spPr>
            <a:xfrm>
              <a:off x="21077596" y="11042048"/>
              <a:ext cx="840781" cy="28282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8" name="Retângulo: Cantos Arredondados 147">
              <a:extLst>
                <a:ext uri="{FF2B5EF4-FFF2-40B4-BE49-F238E27FC236}">
                  <a16:creationId xmlns:a16="http://schemas.microsoft.com/office/drawing/2014/main" id="{C6F05BE2-8F11-47CD-BD77-057B81ABC61E}"/>
                </a:ext>
              </a:extLst>
            </xdr:cNvPr>
            <xdr:cNvSpPr/>
          </xdr:nvSpPr>
          <xdr:spPr>
            <a:xfrm>
              <a:off x="21077596" y="10552374"/>
              <a:ext cx="840781" cy="29237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5" name="Retângulo: Cantos Arredondados 154">
              <a:extLst>
                <a:ext uri="{FF2B5EF4-FFF2-40B4-BE49-F238E27FC236}">
                  <a16:creationId xmlns:a16="http://schemas.microsoft.com/office/drawing/2014/main" id="{F940F0EC-9143-45E8-B376-74A0CAE3DB52}"/>
                </a:ext>
              </a:extLst>
            </xdr:cNvPr>
            <xdr:cNvSpPr/>
          </xdr:nvSpPr>
          <xdr:spPr>
            <a:xfrm>
              <a:off x="21077596" y="11520334"/>
              <a:ext cx="840781" cy="28273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585" name="Agrupar 584">
              <a:extLst>
                <a:ext uri="{FF2B5EF4-FFF2-40B4-BE49-F238E27FC236}">
                  <a16:creationId xmlns:a16="http://schemas.microsoft.com/office/drawing/2014/main" id="{E31ED82D-7E8D-4FBD-BE9F-0CCA9BE1AF77}"/>
                </a:ext>
              </a:extLst>
            </xdr:cNvPr>
            <xdr:cNvGrpSpPr/>
          </xdr:nvGrpSpPr>
          <xdr:grpSpPr>
            <a:xfrm>
              <a:off x="22129458" y="9992852"/>
              <a:ext cx="867259" cy="323970"/>
              <a:chOff x="16645619" y="1334215"/>
              <a:chExt cx="778530" cy="294819"/>
            </a:xfrm>
          </xdr:grpSpPr>
          <xdr:sp macro="" textlink="">
            <xdr:nvSpPr>
              <xdr:cNvPr id="586" name="Retângulo: Cantos Arredondados 585">
                <a:extLst>
                  <a:ext uri="{FF2B5EF4-FFF2-40B4-BE49-F238E27FC236}">
                    <a16:creationId xmlns:a16="http://schemas.microsoft.com/office/drawing/2014/main" id="{98BEA28A-6068-6A7E-F229-CD02633494F0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87" name="Retângulo: Cantos Arredondados 586">
                <a:extLst>
                  <a:ext uri="{FF2B5EF4-FFF2-40B4-BE49-F238E27FC236}">
                    <a16:creationId xmlns:a16="http://schemas.microsoft.com/office/drawing/2014/main" id="{573D830F-65C5-C2E6-BBD3-7C342ADBFD60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13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88" name="Agrupar 587">
              <a:extLst>
                <a:ext uri="{FF2B5EF4-FFF2-40B4-BE49-F238E27FC236}">
                  <a16:creationId xmlns:a16="http://schemas.microsoft.com/office/drawing/2014/main" id="{F8DB8825-14E8-4463-99EA-DF330A844A5F}"/>
                </a:ext>
              </a:extLst>
            </xdr:cNvPr>
            <xdr:cNvGrpSpPr/>
          </xdr:nvGrpSpPr>
          <xdr:grpSpPr>
            <a:xfrm>
              <a:off x="22129450" y="10500300"/>
              <a:ext cx="885749" cy="283812"/>
              <a:chOff x="16645619" y="1334215"/>
              <a:chExt cx="786578" cy="294819"/>
            </a:xfrm>
          </xdr:grpSpPr>
          <xdr:sp macro="" textlink="">
            <xdr:nvSpPr>
              <xdr:cNvPr id="589" name="Retângulo: Cantos Arredondados 588">
                <a:extLst>
                  <a:ext uri="{FF2B5EF4-FFF2-40B4-BE49-F238E27FC236}">
                    <a16:creationId xmlns:a16="http://schemas.microsoft.com/office/drawing/2014/main" id="{209E6FB7-8E7D-1D59-F9B5-BC762CF90A51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0" name="Retângulo: Cantos Arredondados 589">
                <a:extLst>
                  <a:ext uri="{FF2B5EF4-FFF2-40B4-BE49-F238E27FC236}">
                    <a16:creationId xmlns:a16="http://schemas.microsoft.com/office/drawing/2014/main" id="{49ED1E20-A591-482B-9799-A9E359453747}"/>
                  </a:ext>
                </a:extLst>
              </xdr:cNvPr>
              <xdr:cNvSpPr/>
            </xdr:nvSpPr>
            <xdr:spPr>
              <a:xfrm>
                <a:off x="16645619" y="1334215"/>
                <a:ext cx="786578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08 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91" name="Agrupar 590">
              <a:extLst>
                <a:ext uri="{FF2B5EF4-FFF2-40B4-BE49-F238E27FC236}">
                  <a16:creationId xmlns:a16="http://schemas.microsoft.com/office/drawing/2014/main" id="{991EE0D0-C465-474A-830F-F364F2813FD5}"/>
                </a:ext>
              </a:extLst>
            </xdr:cNvPr>
            <xdr:cNvGrpSpPr/>
          </xdr:nvGrpSpPr>
          <xdr:grpSpPr>
            <a:xfrm>
              <a:off x="22129458" y="9531344"/>
              <a:ext cx="867259" cy="279914"/>
              <a:chOff x="16645619" y="1334215"/>
              <a:chExt cx="741710" cy="294819"/>
            </a:xfrm>
          </xdr:grpSpPr>
          <xdr:sp macro="" textlink="">
            <xdr:nvSpPr>
              <xdr:cNvPr id="592" name="Retângulo: Cantos Arredondados 591">
                <a:extLst>
                  <a:ext uri="{FF2B5EF4-FFF2-40B4-BE49-F238E27FC236}">
                    <a16:creationId xmlns:a16="http://schemas.microsoft.com/office/drawing/2014/main" id="{8F383B45-15DE-AE9A-CBA3-5A28516A6E76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3" name="Retângulo: Cantos Arredondados 592">
                <a:extLst>
                  <a:ext uri="{FF2B5EF4-FFF2-40B4-BE49-F238E27FC236}">
                    <a16:creationId xmlns:a16="http://schemas.microsoft.com/office/drawing/2014/main" id="{FEF8358B-ECAA-B263-A577-117031BA8922}"/>
                  </a:ext>
                </a:extLst>
              </xdr:cNvPr>
              <xdr:cNvSpPr/>
            </xdr:nvSpPr>
            <xdr:spPr>
              <a:xfrm>
                <a:off x="16645619" y="1334215"/>
                <a:ext cx="738701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14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94" name="Agrupar 593">
              <a:extLst>
                <a:ext uri="{FF2B5EF4-FFF2-40B4-BE49-F238E27FC236}">
                  <a16:creationId xmlns:a16="http://schemas.microsoft.com/office/drawing/2014/main" id="{4EA90C4B-21CB-4FF5-A80A-BFA4F3DA2455}"/>
                </a:ext>
              </a:extLst>
            </xdr:cNvPr>
            <xdr:cNvGrpSpPr/>
          </xdr:nvGrpSpPr>
          <xdr:grpSpPr>
            <a:xfrm>
              <a:off x="22129458" y="8560658"/>
              <a:ext cx="867259" cy="293205"/>
              <a:chOff x="16645619" y="1334215"/>
              <a:chExt cx="778530" cy="294819"/>
            </a:xfrm>
          </xdr:grpSpPr>
          <xdr:sp macro="" textlink="">
            <xdr:nvSpPr>
              <xdr:cNvPr id="595" name="Retângulo: Cantos Arredondados 594">
                <a:extLst>
                  <a:ext uri="{FF2B5EF4-FFF2-40B4-BE49-F238E27FC236}">
                    <a16:creationId xmlns:a16="http://schemas.microsoft.com/office/drawing/2014/main" id="{D13E1E7B-A775-AC5B-0E6D-E79016B9683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6" name="Retângulo: Cantos Arredondados 595">
                <a:extLst>
                  <a:ext uri="{FF2B5EF4-FFF2-40B4-BE49-F238E27FC236}">
                    <a16:creationId xmlns:a16="http://schemas.microsoft.com/office/drawing/2014/main" id="{B74C4B6E-4D27-A943-7581-63EE98ECDC35}"/>
                  </a:ext>
                </a:extLst>
              </xdr:cNvPr>
              <xdr:cNvSpPr/>
            </xdr:nvSpPr>
            <xdr:spPr>
              <a:xfrm>
                <a:off x="16645619" y="1334215"/>
                <a:ext cx="778530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15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597" name="Agrupar 596">
              <a:extLst>
                <a:ext uri="{FF2B5EF4-FFF2-40B4-BE49-F238E27FC236}">
                  <a16:creationId xmlns:a16="http://schemas.microsoft.com/office/drawing/2014/main" id="{AD0B6B5D-FB60-4BAF-BA31-CC120A5363F5}"/>
                </a:ext>
              </a:extLst>
            </xdr:cNvPr>
            <xdr:cNvGrpSpPr/>
          </xdr:nvGrpSpPr>
          <xdr:grpSpPr>
            <a:xfrm>
              <a:off x="22129458" y="9060398"/>
              <a:ext cx="880594" cy="272118"/>
              <a:chOff x="16645619" y="1334215"/>
              <a:chExt cx="741710" cy="294819"/>
            </a:xfrm>
          </xdr:grpSpPr>
          <xdr:sp macro="" textlink="">
            <xdr:nvSpPr>
              <xdr:cNvPr id="598" name="Retângulo: Cantos Arredondados 597">
                <a:extLst>
                  <a:ext uri="{FF2B5EF4-FFF2-40B4-BE49-F238E27FC236}">
                    <a16:creationId xmlns:a16="http://schemas.microsoft.com/office/drawing/2014/main" id="{C1A1CD2F-5010-9F5C-5C65-6B51D12EAB5F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599" name="Retângulo: Cantos Arredondados 598">
                <a:extLst>
                  <a:ext uri="{FF2B5EF4-FFF2-40B4-BE49-F238E27FC236}">
                    <a16:creationId xmlns:a16="http://schemas.microsoft.com/office/drawing/2014/main" id="{66F72EEE-64BD-5086-D486-98819D90B80D}"/>
                  </a:ext>
                </a:extLst>
              </xdr:cNvPr>
              <xdr:cNvSpPr/>
            </xdr:nvSpPr>
            <xdr:spPr>
              <a:xfrm>
                <a:off x="16645619" y="1334215"/>
                <a:ext cx="70618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09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Moca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">
          <xdr:nvSpPr>
            <xdr:cNvPr id="600" name="Retângulo: Cantos Arredondados 599">
              <a:extLst>
                <a:ext uri="{FF2B5EF4-FFF2-40B4-BE49-F238E27FC236}">
                  <a16:creationId xmlns:a16="http://schemas.microsoft.com/office/drawing/2014/main" id="{F08295D0-9645-47DB-86F4-BB9F7FDEE056}"/>
                </a:ext>
              </a:extLst>
            </xdr:cNvPr>
            <xdr:cNvSpPr/>
          </xdr:nvSpPr>
          <xdr:spPr>
            <a:xfrm>
              <a:off x="23224727" y="8564468"/>
              <a:ext cx="831256" cy="29046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1" name="Retângulo: Cantos Arredondados 600">
              <a:extLst>
                <a:ext uri="{FF2B5EF4-FFF2-40B4-BE49-F238E27FC236}">
                  <a16:creationId xmlns:a16="http://schemas.microsoft.com/office/drawing/2014/main" id="{531E1563-A067-44E8-8DAE-C0EA896BB164}"/>
                </a:ext>
              </a:extLst>
            </xdr:cNvPr>
            <xdr:cNvSpPr/>
          </xdr:nvSpPr>
          <xdr:spPr>
            <a:xfrm>
              <a:off x="23224727" y="9566428"/>
              <a:ext cx="831256" cy="267319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2" name="Retângulo: Cantos Arredondados 601">
              <a:extLst>
                <a:ext uri="{FF2B5EF4-FFF2-40B4-BE49-F238E27FC236}">
                  <a16:creationId xmlns:a16="http://schemas.microsoft.com/office/drawing/2014/main" id="{65921B7E-0756-42CD-A5D7-B90CE7E6BC8C}"/>
                </a:ext>
              </a:extLst>
            </xdr:cNvPr>
            <xdr:cNvSpPr/>
          </xdr:nvSpPr>
          <xdr:spPr>
            <a:xfrm>
              <a:off x="23224727" y="9052901"/>
              <a:ext cx="831256" cy="30200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3" name="Retângulo: Cantos Arredondados 602">
              <a:extLst>
                <a:ext uri="{FF2B5EF4-FFF2-40B4-BE49-F238E27FC236}">
                  <a16:creationId xmlns:a16="http://schemas.microsoft.com/office/drawing/2014/main" id="{63D1CFC4-2F36-44F8-919E-5FF29BDD2899}"/>
                </a:ext>
              </a:extLst>
            </xdr:cNvPr>
            <xdr:cNvSpPr/>
          </xdr:nvSpPr>
          <xdr:spPr>
            <a:xfrm>
              <a:off x="23224727" y="10522141"/>
              <a:ext cx="831256" cy="30196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04" name="Retângulo: Cantos Arredondados 603">
              <a:extLst>
                <a:ext uri="{FF2B5EF4-FFF2-40B4-BE49-F238E27FC236}">
                  <a16:creationId xmlns:a16="http://schemas.microsoft.com/office/drawing/2014/main" id="{ABFE4D20-6E76-4FA7-BC39-1F0CE8C23FD4}"/>
                </a:ext>
              </a:extLst>
            </xdr:cNvPr>
            <xdr:cNvSpPr/>
          </xdr:nvSpPr>
          <xdr:spPr>
            <a:xfrm>
              <a:off x="23224727" y="10033708"/>
              <a:ext cx="831256" cy="273100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644" name="Agrupar 643">
              <a:extLst>
                <a:ext uri="{FF2B5EF4-FFF2-40B4-BE49-F238E27FC236}">
                  <a16:creationId xmlns:a16="http://schemas.microsoft.com/office/drawing/2014/main" id="{9FB5718F-BA78-1EAF-2CA1-391FF2AD49D1}"/>
                </a:ext>
              </a:extLst>
            </xdr:cNvPr>
            <xdr:cNvGrpSpPr/>
          </xdr:nvGrpSpPr>
          <xdr:grpSpPr>
            <a:xfrm>
              <a:off x="20121285" y="9069025"/>
              <a:ext cx="874880" cy="260600"/>
              <a:chOff x="16645619" y="1334215"/>
              <a:chExt cx="761837" cy="294819"/>
            </a:xfrm>
          </xdr:grpSpPr>
          <xdr:sp macro="" textlink="">
            <xdr:nvSpPr>
              <xdr:cNvPr id="646" name="Retângulo: Cantos Arredondados 645">
                <a:extLst>
                  <a:ext uri="{FF2B5EF4-FFF2-40B4-BE49-F238E27FC236}">
                    <a16:creationId xmlns:a16="http://schemas.microsoft.com/office/drawing/2014/main" id="{8208B90B-01CA-A329-DCB5-9498CFD15E12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47" name="Retângulo: Cantos Arredondados 646">
                <a:extLst>
                  <a:ext uri="{FF2B5EF4-FFF2-40B4-BE49-F238E27FC236}">
                    <a16:creationId xmlns:a16="http://schemas.microsoft.com/office/drawing/2014/main" id="{7408A40D-A5B1-AD61-E5DE-E4D03586DF24}"/>
                  </a:ext>
                </a:extLst>
              </xdr:cNvPr>
              <xdr:cNvSpPr/>
            </xdr:nvSpPr>
            <xdr:spPr>
              <a:xfrm>
                <a:off x="16645619" y="1334215"/>
                <a:ext cx="761837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13 Moca</a:t>
                </a:r>
              </a:p>
            </xdr:txBody>
          </xdr:sp>
        </xdr:grpSp>
        <xdr:sp macro="" textlink="">
          <xdr:nvSpPr>
            <xdr:cNvPr id="648" name="Retângulo: Cantos Arredondados 647">
              <a:extLst>
                <a:ext uri="{FF2B5EF4-FFF2-40B4-BE49-F238E27FC236}">
                  <a16:creationId xmlns:a16="http://schemas.microsoft.com/office/drawing/2014/main" id="{96C7B0B2-04FA-DF75-EB7C-19B533C81ED9}"/>
                </a:ext>
              </a:extLst>
            </xdr:cNvPr>
            <xdr:cNvSpPr/>
          </xdr:nvSpPr>
          <xdr:spPr>
            <a:xfrm>
              <a:off x="21075691" y="9088849"/>
              <a:ext cx="823635" cy="265458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9" name="Retângulo: Cantos Arredondados 648">
              <a:extLst>
                <a:ext uri="{FF2B5EF4-FFF2-40B4-BE49-F238E27FC236}">
                  <a16:creationId xmlns:a16="http://schemas.microsoft.com/office/drawing/2014/main" id="{03475007-FAB0-BE88-3938-B24BE5A8AC40}"/>
                </a:ext>
              </a:extLst>
            </xdr:cNvPr>
            <xdr:cNvSpPr/>
          </xdr:nvSpPr>
          <xdr:spPr>
            <a:xfrm>
              <a:off x="21075691" y="9567027"/>
              <a:ext cx="823635" cy="29436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3" name="Retângulo: Cantos Arredondados 652">
              <a:extLst>
                <a:ext uri="{FF2B5EF4-FFF2-40B4-BE49-F238E27FC236}">
                  <a16:creationId xmlns:a16="http://schemas.microsoft.com/office/drawing/2014/main" id="{42666513-3BC8-471A-AD92-4E24A5FCF6FD}"/>
                </a:ext>
              </a:extLst>
            </xdr:cNvPr>
            <xdr:cNvSpPr/>
          </xdr:nvSpPr>
          <xdr:spPr>
            <a:xfrm>
              <a:off x="21075691" y="8566373"/>
              <a:ext cx="838877" cy="313522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682" name="Agrupar 681">
              <a:extLst>
                <a:ext uri="{FF2B5EF4-FFF2-40B4-BE49-F238E27FC236}">
                  <a16:creationId xmlns:a16="http://schemas.microsoft.com/office/drawing/2014/main" id="{68F89CFD-C871-4D91-907B-D33B33D14BDC}"/>
                </a:ext>
              </a:extLst>
            </xdr:cNvPr>
            <xdr:cNvGrpSpPr/>
          </xdr:nvGrpSpPr>
          <xdr:grpSpPr>
            <a:xfrm>
              <a:off x="22125647" y="11004026"/>
              <a:ext cx="917457" cy="281731"/>
              <a:chOff x="16645619" y="1334215"/>
              <a:chExt cx="748826" cy="294819"/>
            </a:xfrm>
          </xdr:grpSpPr>
          <xdr:sp macro="" textlink="">
            <xdr:nvSpPr>
              <xdr:cNvPr id="683" name="Retângulo: Cantos Arredondados 682">
                <a:extLst>
                  <a:ext uri="{FF2B5EF4-FFF2-40B4-BE49-F238E27FC236}">
                    <a16:creationId xmlns:a16="http://schemas.microsoft.com/office/drawing/2014/main" id="{1E78E8C1-DC38-A334-3122-2D1E070036F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84" name="Retângulo: Cantos Arredondados 683">
                <a:extLst>
                  <a:ext uri="{FF2B5EF4-FFF2-40B4-BE49-F238E27FC236}">
                    <a16:creationId xmlns:a16="http://schemas.microsoft.com/office/drawing/2014/main" id="{6D5EABF1-06A0-69E5-FFA2-458B5AB10086}"/>
                  </a:ext>
                </a:extLst>
              </xdr:cNvPr>
              <xdr:cNvSpPr/>
            </xdr:nvSpPr>
            <xdr:spPr>
              <a:xfrm>
                <a:off x="16645619" y="1334215"/>
                <a:ext cx="74882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10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 Chato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685" name="Agrupar 684">
              <a:extLst>
                <a:ext uri="{FF2B5EF4-FFF2-40B4-BE49-F238E27FC236}">
                  <a16:creationId xmlns:a16="http://schemas.microsoft.com/office/drawing/2014/main" id="{3B6174B3-CCE8-4B52-BF0D-BAEC6718A284}"/>
                </a:ext>
              </a:extLst>
            </xdr:cNvPr>
            <xdr:cNvGrpSpPr/>
          </xdr:nvGrpSpPr>
          <xdr:grpSpPr>
            <a:xfrm>
              <a:off x="22129458" y="11463673"/>
              <a:ext cx="867259" cy="308533"/>
              <a:chOff x="16645619" y="1334215"/>
              <a:chExt cx="761518" cy="294819"/>
            </a:xfrm>
          </xdr:grpSpPr>
          <xdr:sp macro="" textlink="">
            <xdr:nvSpPr>
              <xdr:cNvPr id="686" name="Retângulo: Cantos Arredondados 685">
                <a:extLst>
                  <a:ext uri="{FF2B5EF4-FFF2-40B4-BE49-F238E27FC236}">
                    <a16:creationId xmlns:a16="http://schemas.microsoft.com/office/drawing/2014/main" id="{3CA6CA89-101F-A717-4BA1-7B8B1D6B1173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687" name="Retângulo: Cantos Arredondados 686">
                <a:extLst>
                  <a:ext uri="{FF2B5EF4-FFF2-40B4-BE49-F238E27FC236}">
                    <a16:creationId xmlns:a16="http://schemas.microsoft.com/office/drawing/2014/main" id="{EAE3997D-5162-BFA8-B23C-4B45189C87D3}"/>
                  </a:ext>
                </a:extLst>
              </xdr:cNvPr>
              <xdr:cNvSpPr/>
            </xdr:nvSpPr>
            <xdr:spPr>
              <a:xfrm>
                <a:off x="16645619" y="1334215"/>
                <a:ext cx="761518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Fundo</a:t>
                </a:r>
              </a:p>
            </xdr:txBody>
          </xdr:sp>
        </xdr:grpSp>
        <xdr:sp macro="" textlink="">
          <xdr:nvSpPr>
            <xdr:cNvPr id="688" name="Retângulo: Cantos Arredondados 687">
              <a:extLst>
                <a:ext uri="{FF2B5EF4-FFF2-40B4-BE49-F238E27FC236}">
                  <a16:creationId xmlns:a16="http://schemas.microsoft.com/office/drawing/2014/main" id="{5604085D-54F9-4419-8B3A-3D609CFD9A06}"/>
                </a:ext>
              </a:extLst>
            </xdr:cNvPr>
            <xdr:cNvSpPr/>
          </xdr:nvSpPr>
          <xdr:spPr>
            <a:xfrm>
              <a:off x="23224727" y="11499181"/>
              <a:ext cx="831256" cy="303888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9" name="Retângulo: Cantos Arredondados 688">
              <a:extLst>
                <a:ext uri="{FF2B5EF4-FFF2-40B4-BE49-F238E27FC236}">
                  <a16:creationId xmlns:a16="http://schemas.microsoft.com/office/drawing/2014/main" id="{A10AD3DC-F39B-4F6C-A196-3E61D14511A7}"/>
                </a:ext>
              </a:extLst>
            </xdr:cNvPr>
            <xdr:cNvSpPr/>
          </xdr:nvSpPr>
          <xdr:spPr>
            <a:xfrm>
              <a:off x="23224727" y="11001071"/>
              <a:ext cx="831256" cy="29042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2" name="Retângulo: Cantos Arredondados 701">
              <a:extLst>
                <a:ext uri="{FF2B5EF4-FFF2-40B4-BE49-F238E27FC236}">
                  <a16:creationId xmlns:a16="http://schemas.microsoft.com/office/drawing/2014/main" id="{09228DCB-6DE2-4611-A860-A22153176EE7}"/>
                </a:ext>
              </a:extLst>
            </xdr:cNvPr>
            <xdr:cNvSpPr/>
          </xdr:nvSpPr>
          <xdr:spPr>
            <a:xfrm>
              <a:off x="22839255" y="8094259"/>
              <a:ext cx="1218493" cy="281524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9" name="Retângulo: Cantos Arredondados 178">
              <a:extLst>
                <a:ext uri="{FF2B5EF4-FFF2-40B4-BE49-F238E27FC236}">
                  <a16:creationId xmlns:a16="http://schemas.microsoft.com/office/drawing/2014/main" id="{49D0F172-D1D9-3E3C-C51B-47F987F4DA2C}"/>
                </a:ext>
              </a:extLst>
            </xdr:cNvPr>
            <xdr:cNvSpPr/>
          </xdr:nvSpPr>
          <xdr:spPr>
            <a:xfrm>
              <a:off x="15034376" y="7571159"/>
              <a:ext cx="990211" cy="277043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87" name="Retângulo: Cantos Arredondados 186">
              <a:extLst>
                <a:ext uri="{FF2B5EF4-FFF2-40B4-BE49-F238E27FC236}">
                  <a16:creationId xmlns:a16="http://schemas.microsoft.com/office/drawing/2014/main" id="{1810DFE1-BF9C-63AC-FAAA-AF675B5F00C9}"/>
                </a:ext>
              </a:extLst>
            </xdr:cNvPr>
            <xdr:cNvSpPr/>
          </xdr:nvSpPr>
          <xdr:spPr>
            <a:xfrm>
              <a:off x="19954328" y="7591781"/>
              <a:ext cx="1319080" cy="255421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37" name="Gráfico 236" descr="Usuário">
              <a:extLst>
                <a:ext uri="{FF2B5EF4-FFF2-40B4-BE49-F238E27FC236}">
                  <a16:creationId xmlns:a16="http://schemas.microsoft.com/office/drawing/2014/main" id="{09CB0607-BE48-09A0-7ECF-1542D7AFE6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5144866" y="7609751"/>
              <a:ext cx="213610" cy="222670"/>
            </a:xfrm>
            <a:prstGeom prst="rect">
              <a:avLst/>
            </a:prstGeom>
          </xdr:spPr>
        </xdr:pic>
        <xdr:sp macro="" textlink="">
          <xdr:nvSpPr>
            <xdr:cNvPr id="249" name="Retângulo: Cantos Arredondados 248">
              <a:extLst>
                <a:ext uri="{FF2B5EF4-FFF2-40B4-BE49-F238E27FC236}">
                  <a16:creationId xmlns:a16="http://schemas.microsoft.com/office/drawing/2014/main" id="{88918F07-3A40-F595-C7CC-9382A9880B10}"/>
                </a:ext>
              </a:extLst>
            </xdr:cNvPr>
            <xdr:cNvSpPr/>
          </xdr:nvSpPr>
          <xdr:spPr>
            <a:xfrm>
              <a:off x="17565257" y="7569006"/>
              <a:ext cx="1210311" cy="274375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394" name="Agrupar 393">
              <a:extLst>
                <a:ext uri="{FF2B5EF4-FFF2-40B4-BE49-F238E27FC236}">
                  <a16:creationId xmlns:a16="http://schemas.microsoft.com/office/drawing/2014/main" id="{0A9CEEE8-4896-4389-A75B-DA9A9EDC55CA}"/>
                </a:ext>
              </a:extLst>
            </xdr:cNvPr>
            <xdr:cNvGrpSpPr/>
          </xdr:nvGrpSpPr>
          <xdr:grpSpPr>
            <a:xfrm>
              <a:off x="14467742" y="12443154"/>
              <a:ext cx="1705505" cy="299030"/>
              <a:chOff x="16645619" y="1334215"/>
              <a:chExt cx="741710" cy="294819"/>
            </a:xfrm>
          </xdr:grpSpPr>
          <xdr:sp macro="" textlink="">
            <xdr:nvSpPr>
              <xdr:cNvPr id="395" name="Retângulo: Cantos Arredondados 394">
                <a:extLst>
                  <a:ext uri="{FF2B5EF4-FFF2-40B4-BE49-F238E27FC236}">
                    <a16:creationId xmlns:a16="http://schemas.microsoft.com/office/drawing/2014/main" id="{8A834F59-0226-C1C1-567E-578B228D8815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396" name="Retângulo: Cantos Arredondados 395">
                <a:extLst>
                  <a:ext uri="{FF2B5EF4-FFF2-40B4-BE49-F238E27FC236}">
                    <a16:creationId xmlns:a16="http://schemas.microsoft.com/office/drawing/2014/main" id="{1A45AD67-FB65-1F2B-DA85-626F386927B9}"/>
                  </a:ext>
                </a:extLst>
              </xdr:cNvPr>
              <xdr:cNvSpPr/>
            </xdr:nvSpPr>
            <xdr:spPr>
              <a:xfrm>
                <a:off x="16645619" y="1334215"/>
                <a:ext cx="735839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Outras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Sementes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">
          <xdr:nvSpPr>
            <xdr:cNvPr id="397" name="Retângulo: Cantos Arredondados 396">
              <a:extLst>
                <a:ext uri="{FF2B5EF4-FFF2-40B4-BE49-F238E27FC236}">
                  <a16:creationId xmlns:a16="http://schemas.microsoft.com/office/drawing/2014/main" id="{18E97BC5-8FB1-41FC-9BF9-EBB82D3FD78F}"/>
                </a:ext>
              </a:extLst>
            </xdr:cNvPr>
            <xdr:cNvSpPr/>
          </xdr:nvSpPr>
          <xdr:spPr>
            <a:xfrm>
              <a:off x="16339203" y="12470547"/>
              <a:ext cx="3754848" cy="297037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398" name="Agrupar 397">
              <a:extLst>
                <a:ext uri="{FF2B5EF4-FFF2-40B4-BE49-F238E27FC236}">
                  <a16:creationId xmlns:a16="http://schemas.microsoft.com/office/drawing/2014/main" id="{6897F26A-1FCC-4F9E-8C3B-6BA11738D97A}"/>
                </a:ext>
              </a:extLst>
            </xdr:cNvPr>
            <xdr:cNvGrpSpPr/>
          </xdr:nvGrpSpPr>
          <xdr:grpSpPr>
            <a:xfrm>
              <a:off x="17278556" y="12012779"/>
              <a:ext cx="1724557" cy="287358"/>
              <a:chOff x="16645619" y="1334215"/>
              <a:chExt cx="741710" cy="294819"/>
            </a:xfrm>
          </xdr:grpSpPr>
          <xdr:sp macro="" textlink="">
            <xdr:nvSpPr>
              <xdr:cNvPr id="399" name="Retângulo: Cantos Arredondados 398">
                <a:extLst>
                  <a:ext uri="{FF2B5EF4-FFF2-40B4-BE49-F238E27FC236}">
                    <a16:creationId xmlns:a16="http://schemas.microsoft.com/office/drawing/2014/main" id="{C35C352B-622D-81D3-239E-1CB69D6606E5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00" name="Retângulo: Cantos Arredondados 399">
                <a:extLst>
                  <a:ext uri="{FF2B5EF4-FFF2-40B4-BE49-F238E27FC236}">
                    <a16:creationId xmlns:a16="http://schemas.microsoft.com/office/drawing/2014/main" id="{CB5202F7-A353-7030-79B2-43B3B6A17F3D}"/>
                  </a:ext>
                </a:extLst>
              </xdr:cNvPr>
              <xdr:cNvSpPr/>
            </xdr:nvSpPr>
            <xdr:spPr>
              <a:xfrm>
                <a:off x="16645619" y="1334215"/>
                <a:ext cx="737114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050" b="1">
                    <a:latin typeface="Segoe UI" panose="020B0502040204020203" pitchFamily="34" charset="0"/>
                    <a:cs typeface="Segoe UI" panose="020B0502040204020203" pitchFamily="34" charset="0"/>
                  </a:rPr>
                  <a:t>Pau/Pedra/Torrão</a:t>
                </a:r>
                <a:r>
                  <a:rPr lang="pt-BR" sz="105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PQ</a:t>
                </a:r>
                <a:endParaRPr lang="pt-BR" sz="105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sp macro="" textlink="">
          <xdr:nvSpPr>
            <xdr:cNvPr id="401" name="Retângulo: Cantos Arredondados 400">
              <a:extLst>
                <a:ext uri="{FF2B5EF4-FFF2-40B4-BE49-F238E27FC236}">
                  <a16:creationId xmlns:a16="http://schemas.microsoft.com/office/drawing/2014/main" id="{F02BEC1B-4CAF-448B-BE21-7E98A228C3D1}"/>
                </a:ext>
              </a:extLst>
            </xdr:cNvPr>
            <xdr:cNvSpPr/>
          </xdr:nvSpPr>
          <xdr:spPr>
            <a:xfrm>
              <a:off x="19132076" y="12028119"/>
              <a:ext cx="829351" cy="288516"/>
            </a:xfrm>
            <a:prstGeom prst="roundRect">
              <a:avLst>
                <a:gd name="adj" fmla="val 50000"/>
              </a:avLst>
            </a:prstGeom>
            <a:gradFill>
              <a:gsLst>
                <a:gs pos="0">
                  <a:schemeClr val="bg2">
                    <a:lumMod val="25000"/>
                  </a:schemeClr>
                </a:gs>
                <a:gs pos="86000">
                  <a:schemeClr val="tx1">
                    <a:lumMod val="65000"/>
                    <a:lumOff val="35000"/>
                  </a:schemeClr>
                </a:gs>
              </a:gsLst>
              <a:lin ang="5400000" scaled="1"/>
            </a:gradFill>
            <a:ln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402" name="Agrupar 401">
              <a:extLst>
                <a:ext uri="{FF2B5EF4-FFF2-40B4-BE49-F238E27FC236}">
                  <a16:creationId xmlns:a16="http://schemas.microsoft.com/office/drawing/2014/main" id="{3D03DDC4-4562-427B-B0D4-0E784F62C5D2}"/>
                </a:ext>
              </a:extLst>
            </xdr:cNvPr>
            <xdr:cNvGrpSpPr/>
          </xdr:nvGrpSpPr>
          <xdr:grpSpPr>
            <a:xfrm>
              <a:off x="14434078" y="8093329"/>
              <a:ext cx="1698583" cy="302840"/>
              <a:chOff x="16647428" y="1500187"/>
              <a:chExt cx="981111" cy="294818"/>
            </a:xfrm>
          </xdr:grpSpPr>
          <xdr:sp macro="" textlink="">
            <xdr:nvSpPr>
              <xdr:cNvPr id="403" name="Retângulo: Cantos Arredondados 402">
                <a:extLst>
                  <a:ext uri="{FF2B5EF4-FFF2-40B4-BE49-F238E27FC236}">
                    <a16:creationId xmlns:a16="http://schemas.microsoft.com/office/drawing/2014/main" id="{BEE3E995-DF2E-50F8-182F-9D7107BEA254}"/>
                  </a:ext>
                </a:extLst>
              </xdr:cNvPr>
              <xdr:cNvSpPr/>
            </xdr:nvSpPr>
            <xdr:spPr>
              <a:xfrm>
                <a:off x="16710539" y="1500187"/>
                <a:ext cx="918000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5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04" name="Retângulo: Cantos Arredondados 403">
                <a:extLst>
                  <a:ext uri="{FF2B5EF4-FFF2-40B4-BE49-F238E27FC236}">
                    <a16:creationId xmlns:a16="http://schemas.microsoft.com/office/drawing/2014/main" id="{57BBAE03-30E2-532F-6EB6-EF43DDBED13B}"/>
                  </a:ext>
                </a:extLst>
              </xdr:cNvPr>
              <xdr:cNvSpPr/>
            </xdr:nvSpPr>
            <xdr:spPr>
              <a:xfrm>
                <a:off x="16647428" y="1500187"/>
                <a:ext cx="977448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500" b="1">
                    <a:solidFill>
                      <a:srgbClr val="92D05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Defeitos</a:t>
                </a:r>
              </a:p>
            </xdr:txBody>
          </xdr:sp>
        </xdr:grpSp>
        <xdr:grpSp>
          <xdr:nvGrpSpPr>
            <xdr:cNvPr id="405" name="Agrupar 404">
              <a:extLst>
                <a:ext uri="{FF2B5EF4-FFF2-40B4-BE49-F238E27FC236}">
                  <a16:creationId xmlns:a16="http://schemas.microsoft.com/office/drawing/2014/main" id="{7C41882C-D068-46FB-AEDB-495754C95A4C}"/>
                </a:ext>
              </a:extLst>
            </xdr:cNvPr>
            <xdr:cNvGrpSpPr/>
          </xdr:nvGrpSpPr>
          <xdr:grpSpPr>
            <a:xfrm>
              <a:off x="16285391" y="8057614"/>
              <a:ext cx="1057506" cy="295620"/>
              <a:chOff x="16647427" y="1500186"/>
              <a:chExt cx="999651" cy="294819"/>
            </a:xfrm>
          </xdr:grpSpPr>
          <xdr:sp macro="" textlink="">
            <xdr:nvSpPr>
              <xdr:cNvPr id="406" name="Retângulo: Cantos Arredondados 405">
                <a:extLst>
                  <a:ext uri="{FF2B5EF4-FFF2-40B4-BE49-F238E27FC236}">
                    <a16:creationId xmlns:a16="http://schemas.microsoft.com/office/drawing/2014/main" id="{099E0258-06FB-5D31-A024-89A34ADF779F}"/>
                  </a:ext>
                </a:extLst>
              </xdr:cNvPr>
              <xdr:cNvSpPr/>
            </xdr:nvSpPr>
            <xdr:spPr>
              <a:xfrm>
                <a:off x="16710540" y="1500187"/>
                <a:ext cx="918000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407" name="Retângulo: Cantos Arredondados 406">
                <a:extLst>
                  <a:ext uri="{FF2B5EF4-FFF2-40B4-BE49-F238E27FC236}">
                    <a16:creationId xmlns:a16="http://schemas.microsoft.com/office/drawing/2014/main" id="{03E76CF0-8996-0A0A-279A-9F68D76E9DF9}"/>
                  </a:ext>
                </a:extLst>
              </xdr:cNvPr>
              <xdr:cNvSpPr/>
            </xdr:nvSpPr>
            <xdr:spPr>
              <a:xfrm>
                <a:off x="16647427" y="1500186"/>
                <a:ext cx="999651" cy="294818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Peso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Inicial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08" name="Agrupar 407">
              <a:extLst>
                <a:ext uri="{FF2B5EF4-FFF2-40B4-BE49-F238E27FC236}">
                  <a16:creationId xmlns:a16="http://schemas.microsoft.com/office/drawing/2014/main" id="{071FB382-52BD-4355-BA40-0C316BA9A2E4}"/>
                </a:ext>
              </a:extLst>
            </xdr:cNvPr>
            <xdr:cNvGrpSpPr/>
          </xdr:nvGrpSpPr>
          <xdr:grpSpPr>
            <a:xfrm>
              <a:off x="18890056" y="7572878"/>
              <a:ext cx="951752" cy="278475"/>
              <a:chOff x="16645618" y="1334215"/>
              <a:chExt cx="741711" cy="294819"/>
            </a:xfrm>
          </xdr:grpSpPr>
          <xdr:sp macro="" textlink="">
            <xdr:nvSpPr>
              <xdr:cNvPr id="409" name="Retângulo: Cantos Arredondados 408">
                <a:extLst>
                  <a:ext uri="{FF2B5EF4-FFF2-40B4-BE49-F238E27FC236}">
                    <a16:creationId xmlns:a16="http://schemas.microsoft.com/office/drawing/2014/main" id="{91E399F9-F69E-6D83-1B8E-5AFA1A09A0B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10" name="Retângulo: Cantos Arredondados 409">
                <a:extLst>
                  <a:ext uri="{FF2B5EF4-FFF2-40B4-BE49-F238E27FC236}">
                    <a16:creationId xmlns:a16="http://schemas.microsoft.com/office/drawing/2014/main" id="{2EB0611C-934F-0DB0-29B6-C2F1FDD3D256}"/>
                  </a:ext>
                </a:extLst>
              </xdr:cNvPr>
              <xdr:cNvSpPr/>
            </xdr:nvSpPr>
            <xdr:spPr>
              <a:xfrm>
                <a:off x="16645618" y="1334215"/>
                <a:ext cx="738717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Espécie</a:t>
                </a:r>
              </a:p>
            </xdr:txBody>
          </xdr:sp>
        </xdr:grpSp>
        <xdr:grpSp>
          <xdr:nvGrpSpPr>
            <xdr:cNvPr id="411" name="Agrupar 410">
              <a:extLst>
                <a:ext uri="{FF2B5EF4-FFF2-40B4-BE49-F238E27FC236}">
                  <a16:creationId xmlns:a16="http://schemas.microsoft.com/office/drawing/2014/main" id="{7699DEFE-6F13-4FA8-8155-14E16E27D848}"/>
                </a:ext>
              </a:extLst>
            </xdr:cNvPr>
            <xdr:cNvGrpSpPr/>
          </xdr:nvGrpSpPr>
          <xdr:grpSpPr>
            <a:xfrm>
              <a:off x="16288584" y="7569069"/>
              <a:ext cx="1132977" cy="295132"/>
              <a:chOff x="16645619" y="1334215"/>
              <a:chExt cx="741710" cy="294819"/>
            </a:xfrm>
          </xdr:grpSpPr>
          <xdr:sp macro="" textlink="">
            <xdr:nvSpPr>
              <xdr:cNvPr id="412" name="Retângulo: Cantos Arredondados 411">
                <a:extLst>
                  <a:ext uri="{FF2B5EF4-FFF2-40B4-BE49-F238E27FC236}">
                    <a16:creationId xmlns:a16="http://schemas.microsoft.com/office/drawing/2014/main" id="{82CEC49F-EB23-6B31-FF19-571AA087C7B6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13" name="Retângulo: Cantos Arredondados 412">
                <a:extLst>
                  <a:ext uri="{FF2B5EF4-FFF2-40B4-BE49-F238E27FC236}">
                    <a16:creationId xmlns:a16="http://schemas.microsoft.com/office/drawing/2014/main" id="{78F9D2B1-D588-4390-30E2-D2778090489C}"/>
                  </a:ext>
                </a:extLst>
              </xdr:cNvPr>
              <xdr:cNvSpPr/>
            </xdr:nvSpPr>
            <xdr:spPr>
              <a:xfrm>
                <a:off x="16645619" y="1334215"/>
                <a:ext cx="729276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Nº</a:t>
                </a:r>
                <a:r>
                  <a:rPr lang="pt-BR" sz="1100" b="1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Amostra</a:t>
                </a:r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</xdr:grpSp>
        <xdr:grpSp>
          <xdr:nvGrpSpPr>
            <xdr:cNvPr id="414" name="Agrupar 413">
              <a:extLst>
                <a:ext uri="{FF2B5EF4-FFF2-40B4-BE49-F238E27FC236}">
                  <a16:creationId xmlns:a16="http://schemas.microsoft.com/office/drawing/2014/main" id="{75E73880-7CB0-4D32-ABE8-96AEBC9DB0FA}"/>
                </a:ext>
              </a:extLst>
            </xdr:cNvPr>
            <xdr:cNvGrpSpPr/>
          </xdr:nvGrpSpPr>
          <xdr:grpSpPr>
            <a:xfrm>
              <a:off x="14430120" y="7569069"/>
              <a:ext cx="527828" cy="297103"/>
              <a:chOff x="16645619" y="1334215"/>
              <a:chExt cx="761518" cy="294819"/>
            </a:xfrm>
          </xdr:grpSpPr>
          <xdr:sp macro="" textlink="">
            <xdr:nvSpPr>
              <xdr:cNvPr id="415" name="Retângulo: Cantos Arredondados 414">
                <a:extLst>
                  <a:ext uri="{FF2B5EF4-FFF2-40B4-BE49-F238E27FC236}">
                    <a16:creationId xmlns:a16="http://schemas.microsoft.com/office/drawing/2014/main" id="{54067BD8-892E-DAD5-55BD-E2DBEA949939}"/>
                  </a:ext>
                </a:extLst>
              </xdr:cNvPr>
              <xdr:cNvSpPr/>
            </xdr:nvSpPr>
            <xdr:spPr>
              <a:xfrm>
                <a:off x="16686057" y="1334507"/>
                <a:ext cx="701272" cy="294235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63500" dist="635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endParaRPr lang="pt-BR" sz="1100" b="1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xdr:txBody>
          </xdr:sp>
          <xdr:sp macro="" textlink="">
            <xdr:nvSpPr>
              <xdr:cNvPr id="416" name="Retângulo: Cantos Arredondados 415">
                <a:extLst>
                  <a:ext uri="{FF2B5EF4-FFF2-40B4-BE49-F238E27FC236}">
                    <a16:creationId xmlns:a16="http://schemas.microsoft.com/office/drawing/2014/main" id="{A4822B1B-5E60-B2E7-8D46-902058E14071}"/>
                  </a:ext>
                </a:extLst>
              </xdr:cNvPr>
              <xdr:cNvSpPr/>
            </xdr:nvSpPr>
            <xdr:spPr>
              <a:xfrm>
                <a:off x="16645619" y="1334215"/>
                <a:ext cx="761518" cy="294819"/>
              </a:xfrm>
              <a:prstGeom prst="roundRect">
                <a:avLst>
                  <a:gd name="adj" fmla="val 50000"/>
                </a:avLst>
              </a:prstGeom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76200" dist="63500" dir="13500000" algn="tl" rotWithShape="0">
                  <a:schemeClr val="tx1">
                    <a:lumMod val="50000"/>
                    <a:lumOff val="50000"/>
                    <a:alpha val="48000"/>
                  </a:scheme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pt-BR" sz="1100" b="1">
                    <a:latin typeface="Segoe UI" panose="020B0502040204020203" pitchFamily="34" charset="0"/>
                    <a:cs typeface="Segoe UI" panose="020B0502040204020203" pitchFamily="34" charset="0"/>
                  </a:rPr>
                  <a:t>ID</a:t>
                </a:r>
              </a:p>
            </xdr:txBody>
          </xdr:sp>
        </xdr:grpSp>
      </xdr:grpSp>
      <xdr:grpSp>
        <xdr:nvGrpSpPr>
          <xdr:cNvPr id="703" name="Agrupar 702">
            <a:extLst>
              <a:ext uri="{FF2B5EF4-FFF2-40B4-BE49-F238E27FC236}">
                <a16:creationId xmlns:a16="http://schemas.microsoft.com/office/drawing/2014/main" id="{3DEDC75A-381F-449B-A099-045B44F76112}"/>
              </a:ext>
            </a:extLst>
          </xdr:cNvPr>
          <xdr:cNvGrpSpPr/>
        </xdr:nvGrpSpPr>
        <xdr:grpSpPr>
          <a:xfrm>
            <a:off x="21894940" y="9700510"/>
            <a:ext cx="1010378" cy="293271"/>
            <a:chOff x="16647427" y="1500187"/>
            <a:chExt cx="1043548" cy="294818"/>
          </a:xfrm>
        </xdr:grpSpPr>
        <xdr:sp macro="" textlink="">
          <xdr:nvSpPr>
            <xdr:cNvPr id="257" name="Retângulo: Cantos Arredondados 256">
              <a:extLst>
                <a:ext uri="{FF2B5EF4-FFF2-40B4-BE49-F238E27FC236}">
                  <a16:creationId xmlns:a16="http://schemas.microsoft.com/office/drawing/2014/main" id="{4B43671B-AFC8-38C7-1E55-37E73E1692D5}"/>
                </a:ext>
              </a:extLst>
            </xdr:cNvPr>
            <xdr:cNvSpPr/>
          </xdr:nvSpPr>
          <xdr:spPr>
            <a:xfrm>
              <a:off x="16710540" y="1500187"/>
              <a:ext cx="918000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8" name="Retângulo: Cantos Arredondados 257">
              <a:extLst>
                <a:ext uri="{FF2B5EF4-FFF2-40B4-BE49-F238E27FC236}">
                  <a16:creationId xmlns:a16="http://schemas.microsoft.com/office/drawing/2014/main" id="{C22DFC11-0790-A590-37ED-3E043D4A113D}"/>
                </a:ext>
              </a:extLst>
            </xdr:cNvPr>
            <xdr:cNvSpPr/>
          </xdr:nvSpPr>
          <xdr:spPr>
            <a:xfrm>
              <a:off x="16647427" y="1500187"/>
              <a:ext cx="1043548" cy="294818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Peso</a:t>
              </a:r>
              <a:r>
                <a:rPr lang="pt-BR" sz="1100" b="1" baseline="0">
                  <a:latin typeface="Segoe UI" panose="020B0502040204020203" pitchFamily="34" charset="0"/>
                  <a:cs typeface="Segoe UI" panose="020B0502040204020203" pitchFamily="34" charset="0"/>
                </a:rPr>
                <a:t> Inicial</a:t>
              </a:r>
              <a:endParaRPr lang="pt-BR" sz="1100" b="1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</xdr:grpSp>
      <xdr:grpSp>
        <xdr:nvGrpSpPr>
          <xdr:cNvPr id="650" name="Agrupar 649">
            <a:extLst>
              <a:ext uri="{FF2B5EF4-FFF2-40B4-BE49-F238E27FC236}">
                <a16:creationId xmlns:a16="http://schemas.microsoft.com/office/drawing/2014/main" id="{A09F4B9F-04EF-4835-9575-3841238377E6}"/>
              </a:ext>
            </a:extLst>
          </xdr:cNvPr>
          <xdr:cNvGrpSpPr/>
        </xdr:nvGrpSpPr>
        <xdr:grpSpPr>
          <a:xfrm>
            <a:off x="20256363" y="10210052"/>
            <a:ext cx="885478" cy="289417"/>
            <a:chOff x="16645619" y="1334215"/>
            <a:chExt cx="741710" cy="294819"/>
          </a:xfrm>
        </xdr:grpSpPr>
        <xdr:sp macro="" textlink="">
          <xdr:nvSpPr>
            <xdr:cNvPr id="651" name="Retângulo: Cantos Arredondados 650">
              <a:extLst>
                <a:ext uri="{FF2B5EF4-FFF2-40B4-BE49-F238E27FC236}">
                  <a16:creationId xmlns:a16="http://schemas.microsoft.com/office/drawing/2014/main" id="{68F43081-65F6-535F-90B2-B72A8F9F3039}"/>
                </a:ext>
              </a:extLst>
            </xdr:cNvPr>
            <xdr:cNvSpPr/>
          </xdr:nvSpPr>
          <xdr:spPr>
            <a:xfrm>
              <a:off x="16686057" y="1334507"/>
              <a:ext cx="701272" cy="294235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63500"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pt-BR" sz="1100" b="1"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">
          <xdr:nvSpPr>
            <xdr:cNvPr id="652" name="Retângulo: Cantos Arredondados 651">
              <a:extLst>
                <a:ext uri="{FF2B5EF4-FFF2-40B4-BE49-F238E27FC236}">
                  <a16:creationId xmlns:a16="http://schemas.microsoft.com/office/drawing/2014/main" id="{964AD1E4-142E-198A-6599-02B3FAB5974B}"/>
                </a:ext>
              </a:extLst>
            </xdr:cNvPr>
            <xdr:cNvSpPr/>
          </xdr:nvSpPr>
          <xdr:spPr>
            <a:xfrm>
              <a:off x="16645619" y="1334215"/>
              <a:ext cx="729276" cy="294819"/>
            </a:xfrm>
            <a:prstGeom prst="roundRect">
              <a:avLst>
                <a:gd name="adj" fmla="val 50000"/>
              </a:avLst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76200" dist="63500" dir="13500000" algn="tl" rotWithShape="0">
                <a:schemeClr val="tx1">
                  <a:lumMod val="50000"/>
                  <a:lumOff val="50000"/>
                  <a:alpha val="48000"/>
                </a:scheme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19</a:t>
              </a:r>
              <a:r>
                <a:rPr lang="pt-BR" sz="1100" b="1" baseline="0">
                  <a:latin typeface="Segoe UI" panose="020B0502040204020203" pitchFamily="34" charset="0"/>
                  <a:cs typeface="Segoe UI" panose="020B0502040204020203" pitchFamily="34" charset="0"/>
                </a:rPr>
                <a:t> </a:t>
              </a:r>
              <a:r>
                <a:rPr lang="pt-BR" sz="1100" b="1">
                  <a:latin typeface="Segoe UI" panose="020B0502040204020203" pitchFamily="34" charset="0"/>
                  <a:cs typeface="Segoe UI" panose="020B0502040204020203" pitchFamily="34" charset="0"/>
                </a:rPr>
                <a:t>Chato</a:t>
              </a:r>
            </a:p>
          </xdr:txBody>
        </xdr:sp>
      </xdr:grpSp>
    </xdr:grpSp>
    <xdr:clientData/>
  </xdr:twoCellAnchor>
  <xdr:twoCellAnchor>
    <xdr:from>
      <xdr:col>4</xdr:col>
      <xdr:colOff>404525</xdr:colOff>
      <xdr:row>49</xdr:row>
      <xdr:rowOff>37771</xdr:rowOff>
    </xdr:from>
    <xdr:to>
      <xdr:col>5</xdr:col>
      <xdr:colOff>543978</xdr:colOff>
      <xdr:row>50</xdr:row>
      <xdr:rowOff>149244</xdr:rowOff>
    </xdr:to>
    <xdr:sp macro="" textlink="">
      <xdr:nvSpPr>
        <xdr:cNvPr id="432" name="Retângulo: Cantos Arredondados 431">
          <a:extLst>
            <a:ext uri="{FF2B5EF4-FFF2-40B4-BE49-F238E27FC236}">
              <a16:creationId xmlns:a16="http://schemas.microsoft.com/office/drawing/2014/main" id="{F386357C-58ED-4840-9C70-AA461E1F36FE}"/>
            </a:ext>
          </a:extLst>
        </xdr:cNvPr>
        <xdr:cNvSpPr/>
      </xdr:nvSpPr>
      <xdr:spPr>
        <a:xfrm>
          <a:off x="2824996" y="9293830"/>
          <a:ext cx="744570" cy="29076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400715</xdr:colOff>
      <xdr:row>51</xdr:row>
      <xdr:rowOff>82595</xdr:rowOff>
    </xdr:from>
    <xdr:to>
      <xdr:col>5</xdr:col>
      <xdr:colOff>553503</xdr:colOff>
      <xdr:row>53</xdr:row>
      <xdr:rowOff>14774</xdr:rowOff>
    </xdr:to>
    <xdr:sp macro="" textlink="">
      <xdr:nvSpPr>
        <xdr:cNvPr id="433" name="Retângulo: Cantos Arredondados 432">
          <a:extLst>
            <a:ext uri="{FF2B5EF4-FFF2-40B4-BE49-F238E27FC236}">
              <a16:creationId xmlns:a16="http://schemas.microsoft.com/office/drawing/2014/main" id="{261679CA-7A26-4524-9D32-3067B33AB32F}"/>
            </a:ext>
          </a:extLst>
        </xdr:cNvPr>
        <xdr:cNvSpPr/>
      </xdr:nvSpPr>
      <xdr:spPr>
        <a:xfrm>
          <a:off x="2821186" y="9697242"/>
          <a:ext cx="757905" cy="29076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411922</xdr:colOff>
      <xdr:row>31</xdr:row>
      <xdr:rowOff>165737</xdr:rowOff>
    </xdr:from>
    <xdr:to>
      <xdr:col>9</xdr:col>
      <xdr:colOff>560899</xdr:colOff>
      <xdr:row>33</xdr:row>
      <xdr:rowOff>54289</xdr:rowOff>
    </xdr:to>
    <xdr:sp macro="" textlink="">
      <xdr:nvSpPr>
        <xdr:cNvPr id="434" name="Retângulo: Cantos Arredondados 433">
          <a:extLst>
            <a:ext uri="{FF2B5EF4-FFF2-40B4-BE49-F238E27FC236}">
              <a16:creationId xmlns:a16="http://schemas.microsoft.com/office/drawing/2014/main" id="{825927B6-4ECF-45A9-B1B0-0B87F9BF0A23}"/>
            </a:ext>
          </a:extLst>
        </xdr:cNvPr>
        <xdr:cNvSpPr/>
      </xdr:nvSpPr>
      <xdr:spPr>
        <a:xfrm>
          <a:off x="5252863" y="5824708"/>
          <a:ext cx="754095" cy="31437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411922</xdr:colOff>
      <xdr:row>34</xdr:row>
      <xdr:rowOff>48868</xdr:rowOff>
    </xdr:from>
    <xdr:to>
      <xdr:col>9</xdr:col>
      <xdr:colOff>560899</xdr:colOff>
      <xdr:row>35</xdr:row>
      <xdr:rowOff>130533</xdr:rowOff>
    </xdr:to>
    <xdr:sp macro="" textlink="">
      <xdr:nvSpPr>
        <xdr:cNvPr id="435" name="Retângulo: Cantos Arredondados 434">
          <a:extLst>
            <a:ext uri="{FF2B5EF4-FFF2-40B4-BE49-F238E27FC236}">
              <a16:creationId xmlns:a16="http://schemas.microsoft.com/office/drawing/2014/main" id="{D799F838-6818-4FCA-8C5D-000B255B1156}"/>
            </a:ext>
          </a:extLst>
        </xdr:cNvPr>
        <xdr:cNvSpPr/>
      </xdr:nvSpPr>
      <xdr:spPr>
        <a:xfrm>
          <a:off x="5252863" y="6346574"/>
          <a:ext cx="754095" cy="29457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411922</xdr:colOff>
      <xdr:row>36</xdr:row>
      <xdr:rowOff>98443</xdr:rowOff>
    </xdr:from>
    <xdr:to>
      <xdr:col>9</xdr:col>
      <xdr:colOff>560899</xdr:colOff>
      <xdr:row>37</xdr:row>
      <xdr:rowOff>203716</xdr:rowOff>
    </xdr:to>
    <xdr:sp macro="" textlink="">
      <xdr:nvSpPr>
        <xdr:cNvPr id="436" name="Retângulo: Cantos Arredondados 435">
          <a:extLst>
            <a:ext uri="{FF2B5EF4-FFF2-40B4-BE49-F238E27FC236}">
              <a16:creationId xmlns:a16="http://schemas.microsoft.com/office/drawing/2014/main" id="{28D47B64-CAE7-4EED-95F2-81C1C4D30F70}"/>
            </a:ext>
          </a:extLst>
        </xdr:cNvPr>
        <xdr:cNvSpPr/>
      </xdr:nvSpPr>
      <xdr:spPr>
        <a:xfrm>
          <a:off x="5252863" y="6821972"/>
          <a:ext cx="754095" cy="31818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483329</xdr:colOff>
      <xdr:row>39</xdr:row>
      <xdr:rowOff>147790</xdr:rowOff>
    </xdr:from>
    <xdr:to>
      <xdr:col>15</xdr:col>
      <xdr:colOff>103957</xdr:colOff>
      <xdr:row>41</xdr:row>
      <xdr:rowOff>42297</xdr:rowOff>
    </xdr:to>
    <xdr:grpSp>
      <xdr:nvGrpSpPr>
        <xdr:cNvPr id="437" name="Agrupar 436">
          <a:extLst>
            <a:ext uri="{FF2B5EF4-FFF2-40B4-BE49-F238E27FC236}">
              <a16:creationId xmlns:a16="http://schemas.microsoft.com/office/drawing/2014/main" id="{9E57913C-D1A9-4E3D-8FB9-E9E94735B16C}"/>
            </a:ext>
          </a:extLst>
        </xdr:cNvPr>
        <xdr:cNvGrpSpPr/>
      </xdr:nvGrpSpPr>
      <xdr:grpSpPr>
        <a:xfrm>
          <a:off x="8349858" y="7823819"/>
          <a:ext cx="830864" cy="320331"/>
          <a:chOff x="16647428" y="1500187"/>
          <a:chExt cx="981112" cy="294818"/>
        </a:xfrm>
      </xdr:grpSpPr>
      <xdr:sp macro="" textlink="">
        <xdr:nvSpPr>
          <xdr:cNvPr id="438" name="Retângulo: Cantos Arredondados 437">
            <a:extLst>
              <a:ext uri="{FF2B5EF4-FFF2-40B4-BE49-F238E27FC236}">
                <a16:creationId xmlns:a16="http://schemas.microsoft.com/office/drawing/2014/main" id="{AB300914-6AEC-B5D6-79DE-63B3801108E4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39" name="Retângulo: Cantos Arredondados 438">
            <a:extLst>
              <a:ext uri="{FF2B5EF4-FFF2-40B4-BE49-F238E27FC236}">
                <a16:creationId xmlns:a16="http://schemas.microsoft.com/office/drawing/2014/main" id="{45891CEC-67FC-AD33-411C-3DEAD690D9A8}"/>
              </a:ext>
            </a:extLst>
          </xdr:cNvPr>
          <xdr:cNvSpPr/>
        </xdr:nvSpPr>
        <xdr:spPr>
          <a:xfrm>
            <a:off x="16647428" y="1500187"/>
            <a:ext cx="95667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13</xdr:col>
      <xdr:colOff>488148</xdr:colOff>
      <xdr:row>51</xdr:row>
      <xdr:rowOff>38645</xdr:rowOff>
    </xdr:from>
    <xdr:to>
      <xdr:col>15</xdr:col>
      <xdr:colOff>108776</xdr:colOff>
      <xdr:row>53</xdr:row>
      <xdr:rowOff>8007</xdr:rowOff>
    </xdr:to>
    <xdr:grpSp>
      <xdr:nvGrpSpPr>
        <xdr:cNvPr id="440" name="Agrupar 439">
          <a:extLst>
            <a:ext uri="{FF2B5EF4-FFF2-40B4-BE49-F238E27FC236}">
              <a16:creationId xmlns:a16="http://schemas.microsoft.com/office/drawing/2014/main" id="{E0876357-06EE-4637-9603-F3F682D52B7C}"/>
            </a:ext>
          </a:extLst>
        </xdr:cNvPr>
        <xdr:cNvGrpSpPr/>
      </xdr:nvGrpSpPr>
      <xdr:grpSpPr>
        <a:xfrm>
          <a:off x="8354677" y="10067910"/>
          <a:ext cx="830864" cy="350362"/>
          <a:chOff x="16647428" y="1500187"/>
          <a:chExt cx="981112" cy="294818"/>
        </a:xfrm>
      </xdr:grpSpPr>
      <xdr:sp macro="" textlink="">
        <xdr:nvSpPr>
          <xdr:cNvPr id="441" name="Retângulo: Cantos Arredondados 440">
            <a:extLst>
              <a:ext uri="{FF2B5EF4-FFF2-40B4-BE49-F238E27FC236}">
                <a16:creationId xmlns:a16="http://schemas.microsoft.com/office/drawing/2014/main" id="{F240B2A0-6CA4-0D08-25CD-2D576004DE1A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2" name="Retângulo: Cantos Arredondados 441">
            <a:extLst>
              <a:ext uri="{FF2B5EF4-FFF2-40B4-BE49-F238E27FC236}">
                <a16:creationId xmlns:a16="http://schemas.microsoft.com/office/drawing/2014/main" id="{D3AD2436-C667-D4EE-3E5B-3EC73D64F83E}"/>
              </a:ext>
            </a:extLst>
          </xdr:cNvPr>
          <xdr:cNvSpPr/>
        </xdr:nvSpPr>
        <xdr:spPr>
          <a:xfrm>
            <a:off x="16647428" y="1500187"/>
            <a:ext cx="956672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25</xdr:col>
      <xdr:colOff>397919</xdr:colOff>
      <xdr:row>62</xdr:row>
      <xdr:rowOff>1124</xdr:rowOff>
    </xdr:from>
    <xdr:to>
      <xdr:col>41</xdr:col>
      <xdr:colOff>349286</xdr:colOff>
      <xdr:row>91</xdr:row>
      <xdr:rowOff>129768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15F2E529-397B-1A08-5C68-D625D77332BD}"/>
            </a:ext>
          </a:extLst>
        </xdr:cNvPr>
        <xdr:cNvSpPr/>
      </xdr:nvSpPr>
      <xdr:spPr>
        <a:xfrm>
          <a:off x="15525860" y="11610418"/>
          <a:ext cx="9633250" cy="5664350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66551</xdr:colOff>
      <xdr:row>70</xdr:row>
      <xdr:rowOff>175173</xdr:rowOff>
    </xdr:from>
    <xdr:to>
      <xdr:col>30</xdr:col>
      <xdr:colOff>549054</xdr:colOff>
      <xdr:row>72</xdr:row>
      <xdr:rowOff>59761</xdr:rowOff>
    </xdr:to>
    <xdr:sp macro="" textlink="">
      <xdr:nvSpPr>
        <xdr:cNvPr id="40" name="Retângulo: Cantos Arredondados 39">
          <a:extLst>
            <a:ext uri="{FF2B5EF4-FFF2-40B4-BE49-F238E27FC236}">
              <a16:creationId xmlns:a16="http://schemas.microsoft.com/office/drawing/2014/main" id="{6968DD8B-F739-7589-08E3-2552C50B3ECC}"/>
            </a:ext>
          </a:extLst>
        </xdr:cNvPr>
        <xdr:cNvSpPr/>
      </xdr:nvSpPr>
      <xdr:spPr>
        <a:xfrm>
          <a:off x="17614963" y="13398114"/>
          <a:ext cx="1087620" cy="28800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55826</xdr:colOff>
      <xdr:row>74</xdr:row>
      <xdr:rowOff>94487</xdr:rowOff>
    </xdr:from>
    <xdr:to>
      <xdr:col>30</xdr:col>
      <xdr:colOff>515356</xdr:colOff>
      <xdr:row>75</xdr:row>
      <xdr:rowOff>178876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177B164D-9D1A-F4F2-306C-36C96B96BA1F}"/>
            </a:ext>
          </a:extLst>
        </xdr:cNvPr>
        <xdr:cNvGrpSpPr/>
      </xdr:nvGrpSpPr>
      <xdr:grpSpPr>
        <a:xfrm>
          <a:off x="15788885" y="14650928"/>
          <a:ext cx="2880000" cy="286095"/>
          <a:chOff x="16645619" y="1334215"/>
          <a:chExt cx="741710" cy="294819"/>
        </a:xfrm>
      </xdr:grpSpPr>
      <xdr:sp macro="" textlink="">
        <xdr:nvSpPr>
          <xdr:cNvPr id="693" name="Retângulo: Cantos Arredondados 692">
            <a:extLst>
              <a:ext uri="{FF2B5EF4-FFF2-40B4-BE49-F238E27FC236}">
                <a16:creationId xmlns:a16="http://schemas.microsoft.com/office/drawing/2014/main" id="{2EA74DBC-D703-5BF0-971B-6874FE07CFD7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94" name="Retângulo: Cantos Arredondados 693">
            <a:extLst>
              <a:ext uri="{FF2B5EF4-FFF2-40B4-BE49-F238E27FC236}">
                <a16:creationId xmlns:a16="http://schemas.microsoft.com/office/drawing/2014/main" id="{828FAA6B-F905-3ACC-71AC-90A5BD970E32}"/>
              </a:ext>
            </a:extLst>
          </xdr:cNvPr>
          <xdr:cNvSpPr/>
        </xdr:nvSpPr>
        <xdr:spPr>
          <a:xfrm>
            <a:off x="16645619" y="1334215"/>
            <a:ext cx="7354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29</xdr:col>
      <xdr:colOff>60836</xdr:colOff>
      <xdr:row>77</xdr:row>
      <xdr:rowOff>114624</xdr:rowOff>
    </xdr:from>
    <xdr:to>
      <xdr:col>30</xdr:col>
      <xdr:colOff>552864</xdr:colOff>
      <xdr:row>79</xdr:row>
      <xdr:rowOff>49750</xdr:rowOff>
    </xdr:to>
    <xdr:sp macro="" textlink="">
      <xdr:nvSpPr>
        <xdr:cNvPr id="478" name="Retângulo: Cantos Arredondados 477">
          <a:extLst>
            <a:ext uri="{FF2B5EF4-FFF2-40B4-BE49-F238E27FC236}">
              <a16:creationId xmlns:a16="http://schemas.microsoft.com/office/drawing/2014/main" id="{C2A7B547-B8AB-E128-D61A-C11D2B710275}"/>
            </a:ext>
          </a:extLst>
        </xdr:cNvPr>
        <xdr:cNvSpPr/>
      </xdr:nvSpPr>
      <xdr:spPr>
        <a:xfrm>
          <a:off x="17609248" y="14749506"/>
          <a:ext cx="1097145" cy="29371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59636</xdr:colOff>
      <xdr:row>77</xdr:row>
      <xdr:rowOff>136337</xdr:rowOff>
    </xdr:from>
    <xdr:to>
      <xdr:col>28</xdr:col>
      <xdr:colOff>111306</xdr:colOff>
      <xdr:row>79</xdr:row>
      <xdr:rowOff>91961</xdr:rowOff>
    </xdr:to>
    <xdr:grpSp>
      <xdr:nvGrpSpPr>
        <xdr:cNvPr id="484" name="Agrupar 483">
          <a:extLst>
            <a:ext uri="{FF2B5EF4-FFF2-40B4-BE49-F238E27FC236}">
              <a16:creationId xmlns:a16="http://schemas.microsoft.com/office/drawing/2014/main" id="{6BBF9BED-F318-EAC4-E4A3-943699A6425D}"/>
            </a:ext>
          </a:extLst>
        </xdr:cNvPr>
        <xdr:cNvGrpSpPr/>
      </xdr:nvGrpSpPr>
      <xdr:grpSpPr>
        <a:xfrm>
          <a:off x="15792695" y="15297896"/>
          <a:ext cx="1261905" cy="336624"/>
          <a:chOff x="16645619" y="1334215"/>
          <a:chExt cx="748279" cy="294819"/>
        </a:xfrm>
      </xdr:grpSpPr>
      <xdr:sp macro="" textlink="">
        <xdr:nvSpPr>
          <xdr:cNvPr id="667" name="Retângulo: Cantos Arredondados 666">
            <a:extLst>
              <a:ext uri="{FF2B5EF4-FFF2-40B4-BE49-F238E27FC236}">
                <a16:creationId xmlns:a16="http://schemas.microsoft.com/office/drawing/2014/main" id="{465FDF37-7151-FA9C-B661-E764E4118618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05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68" name="Retângulo: Cantos Arredondados 667">
            <a:extLst>
              <a:ext uri="{FF2B5EF4-FFF2-40B4-BE49-F238E27FC236}">
                <a16:creationId xmlns:a16="http://schemas.microsoft.com/office/drawing/2014/main" id="{ADD53C2A-11B0-5041-9B65-99EA707C9F7C}"/>
              </a:ext>
            </a:extLst>
          </xdr:cNvPr>
          <xdr:cNvSpPr/>
        </xdr:nvSpPr>
        <xdr:spPr>
          <a:xfrm>
            <a:off x="16645619" y="1334215"/>
            <a:ext cx="7482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Quantidade</a:t>
            </a:r>
          </a:p>
        </xdr:txBody>
      </xdr:sp>
    </xdr:grpSp>
    <xdr:clientData/>
  </xdr:twoCellAnchor>
  <xdr:twoCellAnchor>
    <xdr:from>
      <xdr:col>27</xdr:col>
      <xdr:colOff>254832</xdr:colOff>
      <xdr:row>82</xdr:row>
      <xdr:rowOff>18762</xdr:rowOff>
    </xdr:from>
    <xdr:to>
      <xdr:col>30</xdr:col>
      <xdr:colOff>137966</xdr:colOff>
      <xdr:row>83</xdr:row>
      <xdr:rowOff>132745</xdr:rowOff>
    </xdr:to>
    <xdr:grpSp>
      <xdr:nvGrpSpPr>
        <xdr:cNvPr id="485" name="Agrupar 484">
          <a:extLst>
            <a:ext uri="{FF2B5EF4-FFF2-40B4-BE49-F238E27FC236}">
              <a16:creationId xmlns:a16="http://schemas.microsoft.com/office/drawing/2014/main" id="{3B1B6E13-293E-4A0A-E5BC-FD81B0F6E958}"/>
            </a:ext>
          </a:extLst>
        </xdr:cNvPr>
        <xdr:cNvGrpSpPr/>
      </xdr:nvGrpSpPr>
      <xdr:grpSpPr>
        <a:xfrm>
          <a:off x="16593008" y="16132821"/>
          <a:ext cx="1698487" cy="304483"/>
          <a:chOff x="16645619" y="1334215"/>
          <a:chExt cx="741710" cy="294819"/>
        </a:xfrm>
      </xdr:grpSpPr>
      <xdr:sp macro="" textlink="">
        <xdr:nvSpPr>
          <xdr:cNvPr id="665" name="Retângulo: Cantos Arredondados 664">
            <a:extLst>
              <a:ext uri="{FF2B5EF4-FFF2-40B4-BE49-F238E27FC236}">
                <a16:creationId xmlns:a16="http://schemas.microsoft.com/office/drawing/2014/main" id="{948B33E4-155E-770B-15C7-D7878ED6464F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400" b="1">
              <a:solidFill>
                <a:srgbClr val="92D05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66" name="Retângulo: Cantos Arredondados 665">
            <a:extLst>
              <a:ext uri="{FF2B5EF4-FFF2-40B4-BE49-F238E27FC236}">
                <a16:creationId xmlns:a16="http://schemas.microsoft.com/office/drawing/2014/main" id="{AF7330CB-00F8-64FF-0E3E-28CB85DD7EB5}"/>
              </a:ext>
            </a:extLst>
          </xdr:cNvPr>
          <xdr:cNvSpPr/>
        </xdr:nvSpPr>
        <xdr:spPr>
          <a:xfrm>
            <a:off x="16645619" y="1334215"/>
            <a:ext cx="738716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27</xdr:col>
      <xdr:colOff>58316</xdr:colOff>
      <xdr:row>63</xdr:row>
      <xdr:rowOff>75509</xdr:rowOff>
    </xdr:from>
    <xdr:to>
      <xdr:col>28</xdr:col>
      <xdr:colOff>444561</xdr:colOff>
      <xdr:row>64</xdr:row>
      <xdr:rowOff>150939</xdr:rowOff>
    </xdr:to>
    <xdr:sp macro="" textlink="">
      <xdr:nvSpPr>
        <xdr:cNvPr id="568" name="Retângulo: Cantos Arredondados 567">
          <a:extLst>
            <a:ext uri="{FF2B5EF4-FFF2-40B4-BE49-F238E27FC236}">
              <a16:creationId xmlns:a16="http://schemas.microsoft.com/office/drawing/2014/main" id="{D3270DE3-2C8B-1E72-2585-7D1093371AAF}"/>
            </a:ext>
          </a:extLst>
        </xdr:cNvPr>
        <xdr:cNvSpPr/>
      </xdr:nvSpPr>
      <xdr:spPr>
        <a:xfrm>
          <a:off x="16396492" y="11886509"/>
          <a:ext cx="991363" cy="277136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35</xdr:col>
      <xdr:colOff>133586</xdr:colOff>
      <xdr:row>63</xdr:row>
      <xdr:rowOff>75509</xdr:rowOff>
    </xdr:from>
    <xdr:to>
      <xdr:col>37</xdr:col>
      <xdr:colOff>249048</xdr:colOff>
      <xdr:row>64</xdr:row>
      <xdr:rowOff>133120</xdr:rowOff>
    </xdr:to>
    <xdr:sp macro="" textlink="">
      <xdr:nvSpPr>
        <xdr:cNvPr id="572" name="Retângulo: Cantos Arredondados 571">
          <a:extLst>
            <a:ext uri="{FF2B5EF4-FFF2-40B4-BE49-F238E27FC236}">
              <a16:creationId xmlns:a16="http://schemas.microsoft.com/office/drawing/2014/main" id="{90F77494-EFA6-4151-984B-764E1480446D}"/>
            </a:ext>
          </a:extLst>
        </xdr:cNvPr>
        <xdr:cNvSpPr/>
      </xdr:nvSpPr>
      <xdr:spPr>
        <a:xfrm>
          <a:off x="21312704" y="11886509"/>
          <a:ext cx="1325697" cy="259317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172532</xdr:colOff>
      <xdr:row>63</xdr:row>
      <xdr:rowOff>116268</xdr:rowOff>
    </xdr:from>
    <xdr:to>
      <xdr:col>27</xdr:col>
      <xdr:colOff>385980</xdr:colOff>
      <xdr:row>64</xdr:row>
      <xdr:rowOff>137307</xdr:rowOff>
    </xdr:to>
    <xdr:pic>
      <xdr:nvPicPr>
        <xdr:cNvPr id="573" name="Gráfico 572" descr="Usuário">
          <a:extLst>
            <a:ext uri="{FF2B5EF4-FFF2-40B4-BE49-F238E27FC236}">
              <a16:creationId xmlns:a16="http://schemas.microsoft.com/office/drawing/2014/main" id="{D96FB18E-0067-56E7-6C93-80C196CCD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510708" y="11927268"/>
          <a:ext cx="213448" cy="222745"/>
        </a:xfrm>
        <a:prstGeom prst="rect">
          <a:avLst/>
        </a:prstGeom>
      </xdr:spPr>
    </xdr:pic>
    <xdr:clientData/>
  </xdr:twoCellAnchor>
  <xdr:twoCellAnchor>
    <xdr:from>
      <xdr:col>31</xdr:col>
      <xdr:colOff>174422</xdr:colOff>
      <xdr:row>63</xdr:row>
      <xdr:rowOff>75509</xdr:rowOff>
    </xdr:from>
    <xdr:to>
      <xdr:col>33</xdr:col>
      <xdr:colOff>173578</xdr:colOff>
      <xdr:row>64</xdr:row>
      <xdr:rowOff>146365</xdr:rowOff>
    </xdr:to>
    <xdr:sp macro="" textlink="">
      <xdr:nvSpPr>
        <xdr:cNvPr id="575" name="Retângulo: Cantos Arredondados 574">
          <a:extLst>
            <a:ext uri="{FF2B5EF4-FFF2-40B4-BE49-F238E27FC236}">
              <a16:creationId xmlns:a16="http://schemas.microsoft.com/office/drawing/2014/main" id="{B0B651BB-B7AE-99A5-968F-72CBFEF7A304}"/>
            </a:ext>
          </a:extLst>
        </xdr:cNvPr>
        <xdr:cNvSpPr/>
      </xdr:nvSpPr>
      <xdr:spPr>
        <a:xfrm>
          <a:off x="18933069" y="11886509"/>
          <a:ext cx="1209391" cy="272562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29</xdr:col>
      <xdr:colOff>170741</xdr:colOff>
      <xdr:row>87</xdr:row>
      <xdr:rowOff>41847</xdr:rowOff>
    </xdr:from>
    <xdr:to>
      <xdr:col>33</xdr:col>
      <xdr:colOff>474456</xdr:colOff>
      <xdr:row>88</xdr:row>
      <xdr:rowOff>153975</xdr:rowOff>
    </xdr:to>
    <xdr:sp macro="" textlink="">
      <xdr:nvSpPr>
        <xdr:cNvPr id="152" name="Retângulo: Cantos Arredondados 151">
          <a:extLst>
            <a:ext uri="{FF2B5EF4-FFF2-40B4-BE49-F238E27FC236}">
              <a16:creationId xmlns:a16="http://schemas.microsoft.com/office/drawing/2014/main" id="{9AC5350E-CF42-1F79-BC45-E5A4C5023E1F}"/>
            </a:ext>
          </a:extLst>
        </xdr:cNvPr>
        <xdr:cNvSpPr/>
      </xdr:nvSpPr>
      <xdr:spPr>
        <a:xfrm>
          <a:off x="17719153" y="16469671"/>
          <a:ext cx="2724185" cy="291422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26</xdr:col>
      <xdr:colOff>55826</xdr:colOff>
      <xdr:row>87</xdr:row>
      <xdr:rowOff>48066</xdr:rowOff>
    </xdr:from>
    <xdr:to>
      <xdr:col>28</xdr:col>
      <xdr:colOff>580133</xdr:colOff>
      <xdr:row>88</xdr:row>
      <xdr:rowOff>153975</xdr:rowOff>
    </xdr:to>
    <xdr:grpSp>
      <xdr:nvGrpSpPr>
        <xdr:cNvPr id="156" name="Agrupar 155">
          <a:extLst>
            <a:ext uri="{FF2B5EF4-FFF2-40B4-BE49-F238E27FC236}">
              <a16:creationId xmlns:a16="http://schemas.microsoft.com/office/drawing/2014/main" id="{15E65260-634F-C940-4278-CD0B56D8BC1D}"/>
            </a:ext>
          </a:extLst>
        </xdr:cNvPr>
        <xdr:cNvGrpSpPr/>
      </xdr:nvGrpSpPr>
      <xdr:grpSpPr>
        <a:xfrm>
          <a:off x="15788885" y="17114625"/>
          <a:ext cx="1734542" cy="296409"/>
          <a:chOff x="16647319" y="1334507"/>
          <a:chExt cx="740010" cy="298463"/>
        </a:xfrm>
      </xdr:grpSpPr>
      <xdr:sp macro="" textlink="">
        <xdr:nvSpPr>
          <xdr:cNvPr id="608" name="Retângulo: Cantos Arredondados 607">
            <a:extLst>
              <a:ext uri="{FF2B5EF4-FFF2-40B4-BE49-F238E27FC236}">
                <a16:creationId xmlns:a16="http://schemas.microsoft.com/office/drawing/2014/main" id="{41BC0F95-116D-19C9-AB02-7CB37CD40143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05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09" name="Retângulo: Cantos Arredondados 608">
            <a:extLst>
              <a:ext uri="{FF2B5EF4-FFF2-40B4-BE49-F238E27FC236}">
                <a16:creationId xmlns:a16="http://schemas.microsoft.com/office/drawing/2014/main" id="{EBFC6877-5643-7944-0CC2-E1281232E0E7}"/>
              </a:ext>
            </a:extLst>
          </xdr:cNvPr>
          <xdr:cNvSpPr/>
        </xdr:nvSpPr>
        <xdr:spPr>
          <a:xfrm>
            <a:off x="16647319" y="1336117"/>
            <a:ext cx="735481" cy="296853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50" b="1">
                <a:latin typeface="Segoe UI" panose="020B0502040204020203" pitchFamily="34" charset="0"/>
                <a:cs typeface="Segoe UI" panose="020B0502040204020203" pitchFamily="34" charset="0"/>
              </a:rPr>
              <a:t>Outras Sementes</a:t>
            </a:r>
          </a:p>
        </xdr:txBody>
      </xdr:sp>
    </xdr:grpSp>
    <xdr:clientData/>
  </xdr:twoCellAnchor>
  <xdr:twoCellAnchor>
    <xdr:from>
      <xdr:col>26</xdr:col>
      <xdr:colOff>55826</xdr:colOff>
      <xdr:row>67</xdr:row>
      <xdr:rowOff>172503</xdr:rowOff>
    </xdr:from>
    <xdr:to>
      <xdr:col>30</xdr:col>
      <xdr:colOff>517261</xdr:colOff>
      <xdr:row>69</xdr:row>
      <xdr:rowOff>60604</xdr:rowOff>
    </xdr:to>
    <xdr:grpSp>
      <xdr:nvGrpSpPr>
        <xdr:cNvPr id="158" name="Agrupar 157">
          <a:extLst>
            <a:ext uri="{FF2B5EF4-FFF2-40B4-BE49-F238E27FC236}">
              <a16:creationId xmlns:a16="http://schemas.microsoft.com/office/drawing/2014/main" id="{CED37145-02F7-C1C7-D17B-5ABFDDA9B63A}"/>
            </a:ext>
          </a:extLst>
        </xdr:cNvPr>
        <xdr:cNvGrpSpPr/>
      </xdr:nvGrpSpPr>
      <xdr:grpSpPr>
        <a:xfrm>
          <a:off x="15788885" y="13317003"/>
          <a:ext cx="2881905" cy="291513"/>
          <a:chOff x="16647428" y="1500187"/>
          <a:chExt cx="981111" cy="294818"/>
        </a:xfrm>
      </xdr:grpSpPr>
      <xdr:sp macro="" textlink="">
        <xdr:nvSpPr>
          <xdr:cNvPr id="606" name="Retângulo: Cantos Arredondados 605">
            <a:extLst>
              <a:ext uri="{FF2B5EF4-FFF2-40B4-BE49-F238E27FC236}">
                <a16:creationId xmlns:a16="http://schemas.microsoft.com/office/drawing/2014/main" id="{6CC904B4-0F88-0334-5081-E09EC7E0AE9A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5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07" name="Retângulo: Cantos Arredondados 606">
            <a:extLst>
              <a:ext uri="{FF2B5EF4-FFF2-40B4-BE49-F238E27FC236}">
                <a16:creationId xmlns:a16="http://schemas.microsoft.com/office/drawing/2014/main" id="{9FDFC9E5-681F-1A9C-B0F2-E7E049E1F07A}"/>
              </a:ext>
            </a:extLst>
          </xdr:cNvPr>
          <xdr:cNvSpPr/>
        </xdr:nvSpPr>
        <xdr:spPr>
          <a:xfrm>
            <a:off x="16647428" y="1500187"/>
            <a:ext cx="977448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5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Defeitos</a:t>
            </a:r>
          </a:p>
        </xdr:txBody>
      </xdr:sp>
    </xdr:grpSp>
    <xdr:clientData/>
  </xdr:twoCellAnchor>
  <xdr:twoCellAnchor>
    <xdr:from>
      <xdr:col>26</xdr:col>
      <xdr:colOff>59636</xdr:colOff>
      <xdr:row>70</xdr:row>
      <xdr:rowOff>175173</xdr:rowOff>
    </xdr:from>
    <xdr:to>
      <xdr:col>28</xdr:col>
      <xdr:colOff>111306</xdr:colOff>
      <xdr:row>72</xdr:row>
      <xdr:rowOff>48430</xdr:rowOff>
    </xdr:to>
    <xdr:grpSp>
      <xdr:nvGrpSpPr>
        <xdr:cNvPr id="159" name="Agrupar 158">
          <a:extLst>
            <a:ext uri="{FF2B5EF4-FFF2-40B4-BE49-F238E27FC236}">
              <a16:creationId xmlns:a16="http://schemas.microsoft.com/office/drawing/2014/main" id="{A7F7AC0B-51E3-73C7-B66C-9C890A432732}"/>
            </a:ext>
          </a:extLst>
        </xdr:cNvPr>
        <xdr:cNvGrpSpPr/>
      </xdr:nvGrpSpPr>
      <xdr:grpSpPr>
        <a:xfrm>
          <a:off x="15792695" y="13924791"/>
          <a:ext cx="1261905" cy="276668"/>
          <a:chOff x="16647427" y="1500186"/>
          <a:chExt cx="999651" cy="294819"/>
        </a:xfrm>
      </xdr:grpSpPr>
      <xdr:sp macro="" textlink="">
        <xdr:nvSpPr>
          <xdr:cNvPr id="584" name="Retângulo: Cantos Arredondados 583">
            <a:extLst>
              <a:ext uri="{FF2B5EF4-FFF2-40B4-BE49-F238E27FC236}">
                <a16:creationId xmlns:a16="http://schemas.microsoft.com/office/drawing/2014/main" id="{4FB6C259-642C-EC93-8DE5-1618DBF841E2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05" name="Retângulo: Cantos Arredondados 604">
            <a:extLst>
              <a:ext uri="{FF2B5EF4-FFF2-40B4-BE49-F238E27FC236}">
                <a16:creationId xmlns:a16="http://schemas.microsoft.com/office/drawing/2014/main" id="{2175B346-659B-4DA6-3251-15D618116AA8}"/>
              </a:ext>
            </a:extLst>
          </xdr:cNvPr>
          <xdr:cNvSpPr/>
        </xdr:nvSpPr>
        <xdr:spPr>
          <a:xfrm>
            <a:off x="16647427" y="1500186"/>
            <a:ext cx="99965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Peso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Inicial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33</xdr:col>
      <xdr:colOff>287979</xdr:colOff>
      <xdr:row>63</xdr:row>
      <xdr:rowOff>75509</xdr:rowOff>
    </xdr:from>
    <xdr:to>
      <xdr:col>35</xdr:col>
      <xdr:colOff>21151</xdr:colOff>
      <xdr:row>64</xdr:row>
      <xdr:rowOff>154276</xdr:rowOff>
    </xdr:to>
    <xdr:grpSp>
      <xdr:nvGrpSpPr>
        <xdr:cNvPr id="162" name="Agrupar 161">
          <a:extLst>
            <a:ext uri="{FF2B5EF4-FFF2-40B4-BE49-F238E27FC236}">
              <a16:creationId xmlns:a16="http://schemas.microsoft.com/office/drawing/2014/main" id="{C74269C7-3281-1F5E-E68E-FEB2729D61CA}"/>
            </a:ext>
          </a:extLst>
        </xdr:cNvPr>
        <xdr:cNvGrpSpPr/>
      </xdr:nvGrpSpPr>
      <xdr:grpSpPr>
        <a:xfrm>
          <a:off x="20256861" y="12413185"/>
          <a:ext cx="943408" cy="280473"/>
          <a:chOff x="16645618" y="1334215"/>
          <a:chExt cx="741711" cy="294819"/>
        </a:xfrm>
      </xdr:grpSpPr>
      <xdr:sp macro="" textlink="">
        <xdr:nvSpPr>
          <xdr:cNvPr id="582" name="Retângulo: Cantos Arredondados 581">
            <a:extLst>
              <a:ext uri="{FF2B5EF4-FFF2-40B4-BE49-F238E27FC236}">
                <a16:creationId xmlns:a16="http://schemas.microsoft.com/office/drawing/2014/main" id="{D3F1EF08-BCC2-3F79-00C7-F3FEFFD8DED7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83" name="Retângulo: Cantos Arredondados 582">
            <a:extLst>
              <a:ext uri="{FF2B5EF4-FFF2-40B4-BE49-F238E27FC236}">
                <a16:creationId xmlns:a16="http://schemas.microsoft.com/office/drawing/2014/main" id="{9885071D-C4A5-0E41-3ED4-238C15F038B1}"/>
              </a:ext>
            </a:extLst>
          </xdr:cNvPr>
          <xdr:cNvSpPr/>
        </xdr:nvSpPr>
        <xdr:spPr>
          <a:xfrm>
            <a:off x="16645618" y="1334215"/>
            <a:ext cx="738717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Espécie</a:t>
            </a:r>
          </a:p>
        </xdr:txBody>
      </xdr:sp>
    </xdr:grpSp>
    <xdr:clientData/>
  </xdr:twoCellAnchor>
  <xdr:twoCellAnchor>
    <xdr:from>
      <xdr:col>29</xdr:col>
      <xdr:colOff>103239</xdr:colOff>
      <xdr:row>63</xdr:row>
      <xdr:rowOff>75509</xdr:rowOff>
    </xdr:from>
    <xdr:to>
      <xdr:col>31</xdr:col>
      <xdr:colOff>25120</xdr:colOff>
      <xdr:row>64</xdr:row>
      <xdr:rowOff>172844</xdr:rowOff>
    </xdr:to>
    <xdr:grpSp>
      <xdr:nvGrpSpPr>
        <xdr:cNvPr id="576" name="Agrupar 575">
          <a:extLst>
            <a:ext uri="{FF2B5EF4-FFF2-40B4-BE49-F238E27FC236}">
              <a16:creationId xmlns:a16="http://schemas.microsoft.com/office/drawing/2014/main" id="{E1CC7826-1B6D-1B2A-DE2C-D08A769C5D51}"/>
            </a:ext>
          </a:extLst>
        </xdr:cNvPr>
        <xdr:cNvGrpSpPr/>
      </xdr:nvGrpSpPr>
      <xdr:grpSpPr>
        <a:xfrm>
          <a:off x="17651651" y="12413185"/>
          <a:ext cx="1132116" cy="299041"/>
          <a:chOff x="16645619" y="1334215"/>
          <a:chExt cx="741710" cy="294819"/>
        </a:xfrm>
      </xdr:grpSpPr>
      <xdr:sp macro="" textlink="">
        <xdr:nvSpPr>
          <xdr:cNvPr id="580" name="Retângulo: Cantos Arredondados 579">
            <a:extLst>
              <a:ext uri="{FF2B5EF4-FFF2-40B4-BE49-F238E27FC236}">
                <a16:creationId xmlns:a16="http://schemas.microsoft.com/office/drawing/2014/main" id="{7C2B5535-89BD-A77F-EF2F-3B78DA873B44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81" name="Retângulo: Cantos Arredondados 580">
            <a:extLst>
              <a:ext uri="{FF2B5EF4-FFF2-40B4-BE49-F238E27FC236}">
                <a16:creationId xmlns:a16="http://schemas.microsoft.com/office/drawing/2014/main" id="{41D07E70-9697-0A9C-C97A-0016E9AFCCC5}"/>
              </a:ext>
            </a:extLst>
          </xdr:cNvPr>
          <xdr:cNvSpPr/>
        </xdr:nvSpPr>
        <xdr:spPr>
          <a:xfrm>
            <a:off x="16645619" y="1334215"/>
            <a:ext cx="729276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Amostra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26</xdr:col>
      <xdr:colOff>55826</xdr:colOff>
      <xdr:row>63</xdr:row>
      <xdr:rowOff>75509</xdr:rowOff>
    </xdr:from>
    <xdr:to>
      <xdr:col>26</xdr:col>
      <xdr:colOff>590873</xdr:colOff>
      <xdr:row>64</xdr:row>
      <xdr:rowOff>171006</xdr:rowOff>
    </xdr:to>
    <xdr:grpSp>
      <xdr:nvGrpSpPr>
        <xdr:cNvPr id="577" name="Agrupar 576">
          <a:extLst>
            <a:ext uri="{FF2B5EF4-FFF2-40B4-BE49-F238E27FC236}">
              <a16:creationId xmlns:a16="http://schemas.microsoft.com/office/drawing/2014/main" id="{E5E16504-7F26-5017-27B0-EB4153B68559}"/>
            </a:ext>
          </a:extLst>
        </xdr:cNvPr>
        <xdr:cNvGrpSpPr/>
      </xdr:nvGrpSpPr>
      <xdr:grpSpPr>
        <a:xfrm>
          <a:off x="15788885" y="12413185"/>
          <a:ext cx="535047" cy="297203"/>
          <a:chOff x="16645619" y="1334215"/>
          <a:chExt cx="761518" cy="294819"/>
        </a:xfrm>
      </xdr:grpSpPr>
      <xdr:sp macro="" textlink="">
        <xdr:nvSpPr>
          <xdr:cNvPr id="578" name="Retângulo: Cantos Arredondados 577">
            <a:extLst>
              <a:ext uri="{FF2B5EF4-FFF2-40B4-BE49-F238E27FC236}">
                <a16:creationId xmlns:a16="http://schemas.microsoft.com/office/drawing/2014/main" id="{B6BC28C4-ECC7-47EE-29E1-526FF2F48FCA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579" name="Retângulo: Cantos Arredondados 578">
            <a:extLst>
              <a:ext uri="{FF2B5EF4-FFF2-40B4-BE49-F238E27FC236}">
                <a16:creationId xmlns:a16="http://schemas.microsoft.com/office/drawing/2014/main" id="{FE510079-1928-F850-552F-CB4A1928BF41}"/>
              </a:ext>
            </a:extLst>
          </xdr:cNvPr>
          <xdr:cNvSpPr/>
        </xdr:nvSpPr>
        <xdr:spPr>
          <a:xfrm>
            <a:off x="16645619" y="1334215"/>
            <a:ext cx="761518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ID</a:t>
            </a:r>
          </a:p>
        </xdr:txBody>
      </xdr:sp>
    </xdr:grpSp>
    <xdr:clientData/>
  </xdr:twoCellAnchor>
  <xdr:twoCellAnchor>
    <xdr:from>
      <xdr:col>39</xdr:col>
      <xdr:colOff>88290</xdr:colOff>
      <xdr:row>70</xdr:row>
      <xdr:rowOff>175173</xdr:rowOff>
    </xdr:from>
    <xdr:to>
      <xdr:col>40</xdr:col>
      <xdr:colOff>563172</xdr:colOff>
      <xdr:row>72</xdr:row>
      <xdr:rowOff>67381</xdr:rowOff>
    </xdr:to>
    <xdr:sp macro="" textlink="">
      <xdr:nvSpPr>
        <xdr:cNvPr id="359" name="Retângulo: Cantos Arredondados 358">
          <a:extLst>
            <a:ext uri="{FF2B5EF4-FFF2-40B4-BE49-F238E27FC236}">
              <a16:creationId xmlns:a16="http://schemas.microsoft.com/office/drawing/2014/main" id="{035C21F4-4633-4A23-96A8-CEE6B980A74B}"/>
            </a:ext>
          </a:extLst>
        </xdr:cNvPr>
        <xdr:cNvSpPr/>
      </xdr:nvSpPr>
      <xdr:spPr>
        <a:xfrm>
          <a:off x="23687878" y="13398114"/>
          <a:ext cx="1080000" cy="295620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77565</xdr:colOff>
      <xdr:row>74</xdr:row>
      <xdr:rowOff>94487</xdr:rowOff>
    </xdr:from>
    <xdr:to>
      <xdr:col>40</xdr:col>
      <xdr:colOff>527569</xdr:colOff>
      <xdr:row>75</xdr:row>
      <xdr:rowOff>184591</xdr:rowOff>
    </xdr:to>
    <xdr:grpSp>
      <xdr:nvGrpSpPr>
        <xdr:cNvPr id="360" name="Agrupar 359">
          <a:extLst>
            <a:ext uri="{FF2B5EF4-FFF2-40B4-BE49-F238E27FC236}">
              <a16:creationId xmlns:a16="http://schemas.microsoft.com/office/drawing/2014/main" id="{40CF07E2-4512-4266-A647-895EC9200280}"/>
            </a:ext>
          </a:extLst>
        </xdr:cNvPr>
        <xdr:cNvGrpSpPr/>
      </xdr:nvGrpSpPr>
      <xdr:grpSpPr>
        <a:xfrm>
          <a:off x="21861800" y="14650928"/>
          <a:ext cx="2870475" cy="291810"/>
          <a:chOff x="16645619" y="1334215"/>
          <a:chExt cx="741710" cy="294819"/>
        </a:xfrm>
      </xdr:grpSpPr>
      <xdr:sp macro="" textlink="">
        <xdr:nvSpPr>
          <xdr:cNvPr id="361" name="Retângulo: Cantos Arredondados 360">
            <a:extLst>
              <a:ext uri="{FF2B5EF4-FFF2-40B4-BE49-F238E27FC236}">
                <a16:creationId xmlns:a16="http://schemas.microsoft.com/office/drawing/2014/main" id="{A5F954AA-E2F8-7DCF-4C3B-53017B00FDE8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62" name="Retângulo: Cantos Arredondados 361">
            <a:extLst>
              <a:ext uri="{FF2B5EF4-FFF2-40B4-BE49-F238E27FC236}">
                <a16:creationId xmlns:a16="http://schemas.microsoft.com/office/drawing/2014/main" id="{9409803C-8522-8C90-E326-089AB34DAACC}"/>
              </a:ext>
            </a:extLst>
          </xdr:cNvPr>
          <xdr:cNvSpPr/>
        </xdr:nvSpPr>
        <xdr:spPr>
          <a:xfrm>
            <a:off x="16645619" y="1334215"/>
            <a:ext cx="7354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>
    <xdr:from>
      <xdr:col>39</xdr:col>
      <xdr:colOff>78765</xdr:colOff>
      <xdr:row>78</xdr:row>
      <xdr:rowOff>69128</xdr:rowOff>
    </xdr:from>
    <xdr:to>
      <xdr:col>40</xdr:col>
      <xdr:colOff>563172</xdr:colOff>
      <xdr:row>80</xdr:row>
      <xdr:rowOff>444</xdr:rowOff>
    </xdr:to>
    <xdr:sp macro="" textlink="">
      <xdr:nvSpPr>
        <xdr:cNvPr id="363" name="Retângulo: Cantos Arredondados 362">
          <a:extLst>
            <a:ext uri="{FF2B5EF4-FFF2-40B4-BE49-F238E27FC236}">
              <a16:creationId xmlns:a16="http://schemas.microsoft.com/office/drawing/2014/main" id="{A3431296-4344-40C6-A892-DE46B602219B}"/>
            </a:ext>
          </a:extLst>
        </xdr:cNvPr>
        <xdr:cNvSpPr/>
      </xdr:nvSpPr>
      <xdr:spPr>
        <a:xfrm>
          <a:off x="23678353" y="14883304"/>
          <a:ext cx="1089525" cy="289905"/>
        </a:xfrm>
        <a:prstGeom prst="roundRect">
          <a:avLst>
            <a:gd name="adj" fmla="val 50000"/>
          </a:avLst>
        </a:prstGeom>
        <a:gradFill>
          <a:gsLst>
            <a:gs pos="0">
              <a:schemeClr val="bg2">
                <a:lumMod val="25000"/>
              </a:schemeClr>
            </a:gs>
            <a:gs pos="86000">
              <a:schemeClr val="tx1">
                <a:lumMod val="65000"/>
                <a:lumOff val="35000"/>
              </a:schemeClr>
            </a:gs>
          </a:gsLst>
          <a:lin ang="5400000" scaled="1"/>
        </a:gradFill>
        <a:ln>
          <a:noFill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36</xdr:col>
      <xdr:colOff>77565</xdr:colOff>
      <xdr:row>78</xdr:row>
      <xdr:rowOff>81316</xdr:rowOff>
    </xdr:from>
    <xdr:to>
      <xdr:col>38</xdr:col>
      <xdr:colOff>129234</xdr:colOff>
      <xdr:row>80</xdr:row>
      <xdr:rowOff>44560</xdr:rowOff>
    </xdr:to>
    <xdr:grpSp>
      <xdr:nvGrpSpPr>
        <xdr:cNvPr id="364" name="Agrupar 363">
          <a:extLst>
            <a:ext uri="{FF2B5EF4-FFF2-40B4-BE49-F238E27FC236}">
              <a16:creationId xmlns:a16="http://schemas.microsoft.com/office/drawing/2014/main" id="{181E68D7-AA01-466D-9CBB-3BD74AD106BD}"/>
            </a:ext>
          </a:extLst>
        </xdr:cNvPr>
        <xdr:cNvGrpSpPr/>
      </xdr:nvGrpSpPr>
      <xdr:grpSpPr>
        <a:xfrm>
          <a:off x="21861800" y="15433375"/>
          <a:ext cx="1261905" cy="344244"/>
          <a:chOff x="16645619" y="1334215"/>
          <a:chExt cx="748279" cy="294819"/>
        </a:xfrm>
      </xdr:grpSpPr>
      <xdr:sp macro="" textlink="">
        <xdr:nvSpPr>
          <xdr:cNvPr id="365" name="Retângulo: Cantos Arredondados 364">
            <a:extLst>
              <a:ext uri="{FF2B5EF4-FFF2-40B4-BE49-F238E27FC236}">
                <a16:creationId xmlns:a16="http://schemas.microsoft.com/office/drawing/2014/main" id="{46421212-721F-F63E-79CE-E81D44F43471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pt-BR" sz="105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66" name="Retângulo: Cantos Arredondados 365">
            <a:extLst>
              <a:ext uri="{FF2B5EF4-FFF2-40B4-BE49-F238E27FC236}">
                <a16:creationId xmlns:a16="http://schemas.microsoft.com/office/drawing/2014/main" id="{8DAC8B1B-DF86-85AA-FDE9-A7DE020F4FF1}"/>
              </a:ext>
            </a:extLst>
          </xdr:cNvPr>
          <xdr:cNvSpPr/>
        </xdr:nvSpPr>
        <xdr:spPr>
          <a:xfrm>
            <a:off x="16645619" y="1334215"/>
            <a:ext cx="748279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Peso</a:t>
            </a:r>
          </a:p>
        </xdr:txBody>
      </xdr:sp>
    </xdr:grpSp>
    <xdr:clientData/>
  </xdr:twoCellAnchor>
  <xdr:twoCellAnchor>
    <xdr:from>
      <xdr:col>37</xdr:col>
      <xdr:colOff>265140</xdr:colOff>
      <xdr:row>82</xdr:row>
      <xdr:rowOff>148750</xdr:rowOff>
    </xdr:from>
    <xdr:to>
      <xdr:col>40</xdr:col>
      <xdr:colOff>148274</xdr:colOff>
      <xdr:row>84</xdr:row>
      <xdr:rowOff>85344</xdr:rowOff>
    </xdr:to>
    <xdr:grpSp>
      <xdr:nvGrpSpPr>
        <xdr:cNvPr id="367" name="Agrupar 366">
          <a:extLst>
            <a:ext uri="{FF2B5EF4-FFF2-40B4-BE49-F238E27FC236}">
              <a16:creationId xmlns:a16="http://schemas.microsoft.com/office/drawing/2014/main" id="{59D48C2B-ECC2-49A7-98DC-B56E30242AD6}"/>
            </a:ext>
          </a:extLst>
        </xdr:cNvPr>
        <xdr:cNvGrpSpPr/>
      </xdr:nvGrpSpPr>
      <xdr:grpSpPr>
        <a:xfrm>
          <a:off x="22654493" y="16262809"/>
          <a:ext cx="1698487" cy="317594"/>
          <a:chOff x="16645619" y="1334215"/>
          <a:chExt cx="741710" cy="294819"/>
        </a:xfrm>
      </xdr:grpSpPr>
      <xdr:sp macro="" textlink="">
        <xdr:nvSpPr>
          <xdr:cNvPr id="368" name="Retângulo: Cantos Arredondados 367">
            <a:extLst>
              <a:ext uri="{FF2B5EF4-FFF2-40B4-BE49-F238E27FC236}">
                <a16:creationId xmlns:a16="http://schemas.microsoft.com/office/drawing/2014/main" id="{D8DB8BF3-A5C0-7701-C397-E10755C644FB}"/>
              </a:ext>
            </a:extLst>
          </xdr:cNvPr>
          <xdr:cNvSpPr/>
        </xdr:nvSpPr>
        <xdr:spPr>
          <a:xfrm>
            <a:off x="16686057" y="1334507"/>
            <a:ext cx="701272" cy="294235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400" b="1">
              <a:solidFill>
                <a:srgbClr val="92D05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69" name="Retângulo: Cantos Arredondados 368">
            <a:extLst>
              <a:ext uri="{FF2B5EF4-FFF2-40B4-BE49-F238E27FC236}">
                <a16:creationId xmlns:a16="http://schemas.microsoft.com/office/drawing/2014/main" id="{8C842E8E-9302-42A0-1CD4-01732BEB859C}"/>
              </a:ext>
            </a:extLst>
          </xdr:cNvPr>
          <xdr:cNvSpPr/>
        </xdr:nvSpPr>
        <xdr:spPr>
          <a:xfrm>
            <a:off x="16645619" y="1334215"/>
            <a:ext cx="738716" cy="294819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Salvar</a:t>
            </a:r>
          </a:p>
        </xdr:txBody>
      </xdr:sp>
    </xdr:grpSp>
    <xdr:clientData/>
  </xdr:twoCellAnchor>
  <xdr:twoCellAnchor>
    <xdr:from>
      <xdr:col>36</xdr:col>
      <xdr:colOff>77565</xdr:colOff>
      <xdr:row>67</xdr:row>
      <xdr:rowOff>172503</xdr:rowOff>
    </xdr:from>
    <xdr:to>
      <xdr:col>40</xdr:col>
      <xdr:colOff>531379</xdr:colOff>
      <xdr:row>69</xdr:row>
      <xdr:rowOff>64414</xdr:rowOff>
    </xdr:to>
    <xdr:grpSp>
      <xdr:nvGrpSpPr>
        <xdr:cNvPr id="370" name="Agrupar 369">
          <a:extLst>
            <a:ext uri="{FF2B5EF4-FFF2-40B4-BE49-F238E27FC236}">
              <a16:creationId xmlns:a16="http://schemas.microsoft.com/office/drawing/2014/main" id="{68F7E9C4-3F31-45F3-97C5-83E8E87DDBB7}"/>
            </a:ext>
          </a:extLst>
        </xdr:cNvPr>
        <xdr:cNvGrpSpPr/>
      </xdr:nvGrpSpPr>
      <xdr:grpSpPr>
        <a:xfrm>
          <a:off x="21861800" y="13317003"/>
          <a:ext cx="2874285" cy="295323"/>
          <a:chOff x="16647428" y="1500187"/>
          <a:chExt cx="981111" cy="294818"/>
        </a:xfrm>
      </xdr:grpSpPr>
      <xdr:sp macro="" textlink="">
        <xdr:nvSpPr>
          <xdr:cNvPr id="371" name="Retângulo: Cantos Arredondados 370">
            <a:extLst>
              <a:ext uri="{FF2B5EF4-FFF2-40B4-BE49-F238E27FC236}">
                <a16:creationId xmlns:a16="http://schemas.microsoft.com/office/drawing/2014/main" id="{0ECF68E9-5961-6C30-0DCA-125DBC0A1F67}"/>
              </a:ext>
            </a:extLst>
          </xdr:cNvPr>
          <xdr:cNvSpPr/>
        </xdr:nvSpPr>
        <xdr:spPr>
          <a:xfrm>
            <a:off x="16710539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5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72" name="Retângulo: Cantos Arredondados 371">
            <a:extLst>
              <a:ext uri="{FF2B5EF4-FFF2-40B4-BE49-F238E27FC236}">
                <a16:creationId xmlns:a16="http://schemas.microsoft.com/office/drawing/2014/main" id="{927F6357-891E-B43A-6604-6668A368B10F}"/>
              </a:ext>
            </a:extLst>
          </xdr:cNvPr>
          <xdr:cNvSpPr/>
        </xdr:nvSpPr>
        <xdr:spPr>
          <a:xfrm>
            <a:off x="16647428" y="1500187"/>
            <a:ext cx="977448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500" b="1">
                <a:solidFill>
                  <a:srgbClr val="92D05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Peneira</a:t>
            </a:r>
          </a:p>
        </xdr:txBody>
      </xdr:sp>
    </xdr:grpSp>
    <xdr:clientData/>
  </xdr:twoCellAnchor>
  <xdr:twoCellAnchor>
    <xdr:from>
      <xdr:col>36</xdr:col>
      <xdr:colOff>77565</xdr:colOff>
      <xdr:row>70</xdr:row>
      <xdr:rowOff>175173</xdr:rowOff>
    </xdr:from>
    <xdr:to>
      <xdr:col>38</xdr:col>
      <xdr:colOff>136854</xdr:colOff>
      <xdr:row>72</xdr:row>
      <xdr:rowOff>48430</xdr:rowOff>
    </xdr:to>
    <xdr:grpSp>
      <xdr:nvGrpSpPr>
        <xdr:cNvPr id="373" name="Agrupar 372">
          <a:extLst>
            <a:ext uri="{FF2B5EF4-FFF2-40B4-BE49-F238E27FC236}">
              <a16:creationId xmlns:a16="http://schemas.microsoft.com/office/drawing/2014/main" id="{460DD491-925F-4237-B8BE-49E65EE48A67}"/>
            </a:ext>
          </a:extLst>
        </xdr:cNvPr>
        <xdr:cNvGrpSpPr/>
      </xdr:nvGrpSpPr>
      <xdr:grpSpPr>
        <a:xfrm>
          <a:off x="21861800" y="13924791"/>
          <a:ext cx="1269525" cy="276668"/>
          <a:chOff x="16647427" y="1500186"/>
          <a:chExt cx="999651" cy="294819"/>
        </a:xfrm>
      </xdr:grpSpPr>
      <xdr:sp macro="" textlink="">
        <xdr:nvSpPr>
          <xdr:cNvPr id="374" name="Retângulo: Cantos Arredondados 373">
            <a:extLst>
              <a:ext uri="{FF2B5EF4-FFF2-40B4-BE49-F238E27FC236}">
                <a16:creationId xmlns:a16="http://schemas.microsoft.com/office/drawing/2014/main" id="{CDCF67B0-C59C-D8C1-7C16-F02FC755DF12}"/>
              </a:ext>
            </a:extLst>
          </xdr:cNvPr>
          <xdr:cNvSpPr/>
        </xdr:nvSpPr>
        <xdr:spPr>
          <a:xfrm>
            <a:off x="16710540" y="1500187"/>
            <a:ext cx="918000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63500" dist="635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5" name="Retângulo: Cantos Arredondados 374">
            <a:extLst>
              <a:ext uri="{FF2B5EF4-FFF2-40B4-BE49-F238E27FC236}">
                <a16:creationId xmlns:a16="http://schemas.microsoft.com/office/drawing/2014/main" id="{E9F2C555-9A6B-9144-0538-04FDC19D81E5}"/>
              </a:ext>
            </a:extLst>
          </xdr:cNvPr>
          <xdr:cNvSpPr/>
        </xdr:nvSpPr>
        <xdr:spPr>
          <a:xfrm>
            <a:off x="16647427" y="1500186"/>
            <a:ext cx="999651" cy="294818"/>
          </a:xfrm>
          <a:prstGeom prst="roundRect">
            <a:avLst>
              <a:gd name="adj" fmla="val 50000"/>
            </a:avLst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76200" dist="63500" dir="13500000" algn="tl" rotWithShape="0">
              <a:schemeClr val="tx1">
                <a:lumMod val="50000"/>
                <a:lumOff val="50000"/>
                <a:alpha val="48000"/>
              </a:scheme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100" b="1">
                <a:latin typeface="Segoe UI" panose="020B0502040204020203" pitchFamily="34" charset="0"/>
                <a:cs typeface="Segoe UI" panose="020B0502040204020203" pitchFamily="34" charset="0"/>
              </a:rPr>
              <a:t>Peso</a:t>
            </a:r>
            <a:r>
              <a:rPr lang="pt-BR" sz="1100" b="1" baseline="0">
                <a:latin typeface="Segoe UI" panose="020B0502040204020203" pitchFamily="34" charset="0"/>
                <a:cs typeface="Segoe UI" panose="020B0502040204020203" pitchFamily="34" charset="0"/>
              </a:rPr>
              <a:t> Inicial</a:t>
            </a:r>
            <a:endParaRPr lang="pt-BR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0</xdr:rowOff>
        </xdr:from>
        <xdr:to>
          <xdr:col>3</xdr:col>
          <xdr:colOff>1971675</xdr:colOff>
          <xdr:row>1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103581</xdr:colOff>
      <xdr:row>24</xdr:row>
      <xdr:rowOff>0</xdr:rowOff>
    </xdr:from>
    <xdr:to>
      <xdr:col>8</xdr:col>
      <xdr:colOff>64576</xdr:colOff>
      <xdr:row>31</xdr:row>
      <xdr:rowOff>131865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30CDCE5-B12D-4A1A-A496-45A7AC570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536015</xdr:colOff>
      <xdr:row>27</xdr:row>
      <xdr:rowOff>39165</xdr:rowOff>
    </xdr:from>
    <xdr:to>
      <xdr:col>7</xdr:col>
      <xdr:colOff>456748</xdr:colOff>
      <xdr:row>28</xdr:row>
      <xdr:rowOff>49142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F79FAE3F-C455-4A4F-BEFD-B67D51D6E494}"/>
            </a:ext>
          </a:extLst>
        </xdr:cNvPr>
        <xdr:cNvSpPr txBox="1"/>
      </xdr:nvSpPr>
      <xdr:spPr>
        <a:xfrm>
          <a:off x="3469715" y="4725465"/>
          <a:ext cx="844658" cy="221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Chatos</a:t>
          </a:r>
        </a:p>
      </xdr:txBody>
    </xdr:sp>
    <xdr:clientData/>
  </xdr:twoCellAnchor>
  <xdr:twoCellAnchor>
    <xdr:from>
      <xdr:col>8</xdr:col>
      <xdr:colOff>11430</xdr:colOff>
      <xdr:row>24</xdr:row>
      <xdr:rowOff>0</xdr:rowOff>
    </xdr:from>
    <xdr:to>
      <xdr:col>11</xdr:col>
      <xdr:colOff>405765</xdr:colOff>
      <xdr:row>31</xdr:row>
      <xdr:rowOff>93344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BD4CB37-5E35-400E-BFE3-95176BC99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539211</xdr:colOff>
      <xdr:row>27</xdr:row>
      <xdr:rowOff>29189</xdr:rowOff>
    </xdr:from>
    <xdr:to>
      <xdr:col>11</xdr:col>
      <xdr:colOff>38810</xdr:colOff>
      <xdr:row>28</xdr:row>
      <xdr:rowOff>58216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FDBF51E8-0C72-4936-AE88-7763743F9260}"/>
            </a:ext>
          </a:extLst>
        </xdr:cNvPr>
        <xdr:cNvSpPr txBox="1"/>
      </xdr:nvSpPr>
      <xdr:spPr>
        <a:xfrm>
          <a:off x="5303616" y="4713584"/>
          <a:ext cx="850244" cy="2366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Mocas</a:t>
          </a:r>
        </a:p>
      </xdr:txBody>
    </xdr:sp>
    <xdr:clientData/>
  </xdr:twoCellAnchor>
  <xdr:twoCellAnchor editAs="oneCell">
    <xdr:from>
      <xdr:col>0</xdr:col>
      <xdr:colOff>66675</xdr:colOff>
      <xdr:row>89</xdr:row>
      <xdr:rowOff>85725</xdr:rowOff>
    </xdr:from>
    <xdr:to>
      <xdr:col>1</xdr:col>
      <xdr:colOff>515799</xdr:colOff>
      <xdr:row>94</xdr:row>
      <xdr:rowOff>171450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85C0A2CA-2C41-441A-BB0F-BE89DE3AB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66" t="12165" r="10349" b="4194"/>
        <a:stretch/>
      </xdr:blipFill>
      <xdr:spPr>
        <a:xfrm>
          <a:off x="64770" y="17385030"/>
          <a:ext cx="1241604" cy="108394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mel\OneDrive\&#193;rea%20de%20Trabalho\Trabalho%20Dashboard\Clientes\Joaquim%20Neto\Planilhas\Dashboard_robusta.xlsx" TargetMode="External"/><Relationship Id="rId1" Type="http://schemas.openxmlformats.org/officeDocument/2006/relationships/externalLinkPath" Target="file:///C:\Users\pamel\OneDrive\&#193;rea%20de%20Trabalho\Trabalho%20Dashboard\Clientes\Joaquim%20Neto\Planilhas\Dashboard_robus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1"/>
      <sheetName val="Cadastro"/>
      <sheetName val="Tabelas_Cadastro_Clientes"/>
      <sheetName val="Tabela_Cadastro_Amostra"/>
      <sheetName val="Classificação e Peneira "/>
      <sheetName val="Tabela_Classificação_Peneira"/>
      <sheetName val="Notas e Sensorial"/>
      <sheetName val="Tabela_Sensorial_Notas"/>
      <sheetName val="Relatório"/>
      <sheetName val="Tabelas"/>
      <sheetName val="Inserir_Dados"/>
      <sheetName val="Inteligente"/>
      <sheetName val="Dashboard"/>
    </sheetNames>
    <sheetDataSet>
      <sheetData sheetId="0"/>
      <sheetData sheetId="1">
        <row r="5">
          <cell r="G5">
            <v>31971385739</v>
          </cell>
        </row>
        <row r="7">
          <cell r="G7">
            <v>12345000190</v>
          </cell>
        </row>
        <row r="10">
          <cell r="D10" t="str">
            <v>Belo Horizonte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17">
          <cell r="C17" t="str">
            <v/>
          </cell>
        </row>
      </sheetData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D5F9F0-97F9-4270-84FD-23CB3F648DCF}" name="Produtor" displayName="Produtor" ref="A1:BF7" totalsRowShown="0" headerRowDxfId="0">
  <autoFilter ref="A1:BF7" xr:uid="{94D5F9F0-97F9-4270-84FD-23CB3F648DCF}"/>
  <tableColumns count="58">
    <tableColumn id="1" xr3:uid="{34A7ADE5-A13A-4D44-9A06-FC3CD533616D}" name="ID"/>
    <tableColumn id="2" xr3:uid="{35C48A93-DC26-4F37-B889-6FBECE37DE6A}" name="Produtor"/>
    <tableColumn id="3" xr3:uid="{73958BE6-EDB0-4A0B-96AC-9B8192716525}" name="Email"/>
    <tableColumn id="4" xr3:uid="{4FD7456F-8B5C-4EE5-A5EA-A56E9163716F}" name="Fazenda"/>
    <tableColumn id="5" xr3:uid="{C18CCF7E-B62E-4709-8B73-1A488F21EC22}" name="CPF"/>
    <tableColumn id="6" xr3:uid="{62935716-D250-49B9-A0A2-176946267D93}" name="CNPJ"/>
    <tableColumn id="7" xr3:uid="{B16DEFEF-21A6-4F53-928B-5E85D1A727F5}" name="Telefone"/>
    <tableColumn id="8" xr3:uid="{C34563FD-465A-4DD6-B6B5-81B5CEFC25AF}" name="CEP"/>
    <tableColumn id="9" xr3:uid="{3A769B95-43B3-4772-962E-3DE0797782AC}" name="Rua"/>
    <tableColumn id="10" xr3:uid="{DCFDD4F7-AE82-4CF8-BB2C-6F4FBADF0B9C}" name="Nº"/>
    <tableColumn id="11" xr3:uid="{3B28900C-A11D-44F4-AE8B-29C37BE8E7F4}" name="Regiao"/>
    <tableColumn id="12" xr3:uid="{B5D95272-F5FF-47EC-A271-1DD0D5E7CBBE}" name="Cidade"/>
    <tableColumn id="13" xr3:uid="{E35B29B3-D2D7-44E3-A081-E64DCEA10666}" name="Estado"/>
    <tableColumn id="14" xr3:uid="{837ADD87-8948-4CA9-A606-1DA9771847D5}" name="Bairro"/>
    <tableColumn id="15" xr3:uid="{28C6BFE4-EA56-4C25-8CD5-A5BFEC281461}" name=" Abertura"/>
    <tableColumn id="16" xr3:uid="{76A0FF05-2BCA-457B-BFD2-4C8DBB38998B}" name=" Fechamento"/>
    <tableColumn id="17" xr3:uid="{E9F19792-C774-422F-AC1D-00BA6412F147}" name="Amostra"/>
    <tableColumn id="18" xr3:uid="{CB3C9954-0F8A-4B87-9B9B-D33197B70165}" name="Espécie"/>
    <tableColumn id="19" xr3:uid="{CD495E47-B179-4F89-9FA3-09E3EE4F7E51}" name="Nº Lote"/>
    <tableColumn id="20" xr3:uid="{7475211A-412A-4FD0-8B88-D5B36046906C}" name="Variedade"/>
    <tableColumn id="21" xr3:uid="{3AA7904E-D516-4A1A-BB78-10F89DF75055}" name="Padrão"/>
    <tableColumn id="22" xr3:uid="{14B11D93-5426-445D-A78C-4B13DAF94E76}" name="Cultivar"/>
    <tableColumn id="23" xr3:uid="{4B317CD9-D523-4140-9456-28EBAAB5DD0E}" name="Processo"/>
    <tableColumn id="24" xr3:uid="{63ED3B6E-72E8-43FC-9320-61C8367AC31C}" name="Seca"/>
    <tableColumn id="25" xr3:uid="{59F94A1D-7F2A-48C4-8BDC-84226554321D}" name="Altitude"/>
    <tableColumn id="26" xr3:uid="{FB97B2A9-261D-4923-ADB0-8B1B6B321BEF}" name="Aspecto"/>
    <tableColumn id="27" xr3:uid="{B5A00A13-2D01-4F1D-9BB0-076D2D324914}" name="Gleba"/>
    <tableColumn id="28" xr3:uid="{6FB4F234-65B7-4B0A-AE57-888FD8887F55}" name="Sacas"/>
    <tableColumn id="29" xr3:uid="{5F1434F3-1BF4-4AA3-8C42-851AB41BC74F}" name="Safra Ano"/>
    <tableColumn id="30" xr3:uid="{3CAA58D2-ABEC-4A17-B6B8-008240A83133}" name="Lote Corrido"/>
    <tableColumn id="31" xr3:uid="{337F7A49-98F3-4DC7-9C77-D3E71D74B650}" name="Café Coco"/>
    <tableColumn id="32" xr3:uid="{FF8B62CE-8C69-4CD5-BC36-53AF53D730D6}" name="Bica Corrida"/>
    <tableColumn id="33" xr3:uid="{5C2112F9-0EB0-4DEB-93A0-EDC68424D901}" name="Cor"/>
    <tableColumn id="34" xr3:uid="{105BCCEA-45E9-4A2A-B8EB-AB6C98351BBB}" name="PVA"/>
    <tableColumn id="35" xr3:uid="{BA2A3CF7-14A2-4B9E-AD83-85BADDF8668E}" name="Umidade"/>
    <tableColumn id="36" xr3:uid="{8B9D4F53-BFD1-4762-931D-664155EFF178}" name="Renda"/>
    <tableColumn id="37" xr3:uid="{CFDBA1DA-C58A-45C7-9463-2BD14CD58143}" name="Cata"/>
    <tableColumn id="38" xr3:uid="{F557F4BC-0895-42B6-8B73-A167175035D7}" name="Observações"/>
    <tableColumn id="39" xr3:uid="{10C41A4F-6978-4EFD-AB24-6A38CBA58AD6}" name="Peso  Inicial "/>
    <tableColumn id="40" xr3:uid="{9DCB3322-E767-46E3-BF3B-6C14CDF58DFB}" name="Preto"/>
    <tableColumn id="41" xr3:uid="{DB4094F9-9EA6-497A-80B0-4E6F8D6517A0}" name="Preto Verde"/>
    <tableColumn id="42" xr3:uid="{CD91C94C-C162-4C1A-A3A4-7803F7AE3589}" name="Ardido"/>
    <tableColumn id="43" xr3:uid="{9766484A-1756-43F2-8AB8-51CD216F46C7}" name="Verde"/>
    <tableColumn id="44" xr3:uid="{6EB0E7AA-EDA1-4908-8C7C-41A40D7F6428}" name="Quebrado"/>
    <tableColumn id="45" xr3:uid="{40264CA9-0C31-4700-8F5F-052B5203C7A3}" name="Mau Granado/Chocho"/>
    <tableColumn id="46" xr3:uid="{812B6F13-4747-4473-BFE0-03D5142F56F4}" name="Brocado Limpo "/>
    <tableColumn id="47" xr3:uid="{DF5FE150-D265-43E4-810D-9A17F82A2C6C}" name="Brocado Sujo "/>
    <tableColumn id="48" xr3:uid="{0EF3EA11-31FB-494B-8EA8-835B12B5069F}" name="Coco"/>
    <tableColumn id="49" xr3:uid="{3FD0E6CE-5B0C-46B0-88DD-E73E45BE7055}" name="Marinheiro"/>
    <tableColumn id="50" xr3:uid="{A26ABE97-1059-4005-BA74-6F6F311A7CF2}" name="Casca Gd"/>
    <tableColumn id="51" xr3:uid="{D45975D2-3B91-426F-8451-AE914E5E1542}" name="Casca Md ou Pq"/>
    <tableColumn id="52" xr3:uid="{21DA97F8-B992-415C-9A92-E63DCC77EEDE}" name="Fragmentos de Casca"/>
    <tableColumn id="53" xr3:uid="{55126A93-FD29-4971-80F4-F47FFCF134F9}" name="Pau/Pedra/Torrão Gd"/>
    <tableColumn id="54" xr3:uid="{E3E99133-EBC3-47DE-85FE-4CC4BC866892}" name="Pau/Pedra/Torrão Md"/>
    <tableColumn id="55" xr3:uid="{367CCBA9-140C-4946-9985-23D129567C04}" name="Pau/Pedra/Torrão Pq"/>
    <tableColumn id="56" xr3:uid="{A0F358BD-C48C-433A-BB22-E4C2F32CC799}" name="Outras Sementes "/>
    <tableColumn id="57" xr3:uid="{BC1EF6C6-6690-41E9-8A61-343A256D2212}" name="Catação"/>
    <tableColumn id="58" xr3:uid="{FC65A2CB-46E0-45AE-B283-2C8F5B5F0093}" name="Impurezas  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C1718-C2AC-4507-9DF1-12D5781E0E47}">
  <sheetPr codeName="Planilha1"/>
  <dimension ref="L3:AR77"/>
  <sheetViews>
    <sheetView showGridLines="0" topLeftCell="A70" zoomScale="85" zoomScaleNormal="85" workbookViewId="0">
      <selection activeCell="AQ75" sqref="AQ75"/>
    </sheetView>
  </sheetViews>
  <sheetFormatPr defaultRowHeight="15" x14ac:dyDescent="0.25"/>
  <sheetData>
    <row r="3" spans="42:44" x14ac:dyDescent="0.25">
      <c r="AP3" s="2"/>
    </row>
    <row r="4" spans="42:44" x14ac:dyDescent="0.25">
      <c r="AP4" s="2"/>
    </row>
    <row r="5" spans="42:44" x14ac:dyDescent="0.25">
      <c r="AP5" s="2"/>
    </row>
    <row r="6" spans="42:44" x14ac:dyDescent="0.25">
      <c r="AP6" s="2"/>
    </row>
    <row r="7" spans="42:44" x14ac:dyDescent="0.25">
      <c r="AP7" s="3"/>
    </row>
    <row r="8" spans="42:44" x14ac:dyDescent="0.25">
      <c r="AP8" s="3"/>
      <c r="AR8" s="2"/>
    </row>
    <row r="9" spans="42:44" x14ac:dyDescent="0.25">
      <c r="AP9" s="4"/>
    </row>
    <row r="10" spans="42:44" x14ac:dyDescent="0.25">
      <c r="AP10" s="4"/>
    </row>
    <row r="11" spans="42:44" x14ac:dyDescent="0.25">
      <c r="AP11" s="4"/>
    </row>
    <row r="12" spans="42:44" x14ac:dyDescent="0.25">
      <c r="AP12" s="3"/>
    </row>
    <row r="13" spans="42:44" x14ac:dyDescent="0.25">
      <c r="AP13" s="4"/>
    </row>
    <row r="14" spans="42:44" x14ac:dyDescent="0.25">
      <c r="AP14" s="3"/>
    </row>
    <row r="15" spans="42:44" x14ac:dyDescent="0.25">
      <c r="AP15" s="3"/>
    </row>
    <row r="16" spans="42:44" x14ac:dyDescent="0.25">
      <c r="AP16" s="3"/>
    </row>
    <row r="17" spans="12:43" x14ac:dyDescent="0.25">
      <c r="AP17" s="3"/>
    </row>
    <row r="18" spans="12:43" x14ac:dyDescent="0.25">
      <c r="AP18" s="3"/>
    </row>
    <row r="19" spans="12:43" x14ac:dyDescent="0.25">
      <c r="AP19" s="3"/>
    </row>
    <row r="20" spans="12:43" x14ac:dyDescent="0.25">
      <c r="AP20" s="3"/>
    </row>
    <row r="21" spans="12:43" x14ac:dyDescent="0.25">
      <c r="AP21" s="3"/>
    </row>
    <row r="22" spans="12:43" x14ac:dyDescent="0.25">
      <c r="AP22" s="3"/>
    </row>
    <row r="23" spans="12:43" x14ac:dyDescent="0.25">
      <c r="AP23" s="3"/>
    </row>
    <row r="24" spans="12:43" x14ac:dyDescent="0.25">
      <c r="AP24" s="3"/>
    </row>
    <row r="25" spans="12:43" x14ac:dyDescent="0.25">
      <c r="AP25" s="3"/>
    </row>
    <row r="29" spans="12:43" ht="16.5" x14ac:dyDescent="0.25">
      <c r="L29" s="95"/>
      <c r="M29" s="95"/>
      <c r="N29" s="95"/>
    </row>
    <row r="30" spans="12:43" ht="16.5" x14ac:dyDescent="0.25">
      <c r="L30" s="95"/>
      <c r="M30" s="95"/>
      <c r="N30" s="95"/>
    </row>
    <row r="31" spans="12:43" ht="16.5" x14ac:dyDescent="0.25">
      <c r="L31" s="95"/>
      <c r="M31" s="95"/>
      <c r="N31" s="95"/>
    </row>
    <row r="32" spans="12:43" ht="16.5" x14ac:dyDescent="0.25">
      <c r="L32" s="95"/>
      <c r="M32" s="95"/>
      <c r="N32" s="95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7"/>
      <c r="AQ32" s="7"/>
    </row>
    <row r="33" spans="12:43" ht="16.5" x14ac:dyDescent="0.25">
      <c r="L33" s="95"/>
      <c r="M33" s="95"/>
      <c r="N33" s="95"/>
      <c r="T33" s="2"/>
      <c r="U33" s="2"/>
      <c r="V33" s="2"/>
      <c r="W33" s="2"/>
      <c r="X33" s="3"/>
      <c r="Y33" s="3"/>
      <c r="Z33" s="4"/>
      <c r="AA33" s="4"/>
      <c r="AB33" s="4"/>
      <c r="AC33" s="3"/>
      <c r="AD33" s="4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7"/>
    </row>
    <row r="34" spans="12:43" ht="16.5" x14ac:dyDescent="0.25">
      <c r="L34" s="95"/>
      <c r="M34" s="95"/>
      <c r="N34" s="95"/>
    </row>
    <row r="35" spans="12:43" ht="16.5" x14ac:dyDescent="0.25">
      <c r="L35" s="95"/>
      <c r="M35" s="95"/>
      <c r="N35" s="95"/>
    </row>
    <row r="36" spans="12:43" ht="16.5" x14ac:dyDescent="0.25">
      <c r="L36" s="95"/>
      <c r="M36" s="95"/>
      <c r="N36" s="95"/>
    </row>
    <row r="37" spans="12:43" ht="16.5" x14ac:dyDescent="0.25">
      <c r="L37" s="95"/>
      <c r="M37" s="95"/>
      <c r="N37" s="95"/>
    </row>
    <row r="38" spans="12:43" ht="16.5" x14ac:dyDescent="0.25">
      <c r="L38" s="95"/>
      <c r="M38" s="95"/>
      <c r="N38" s="95"/>
    </row>
    <row r="39" spans="12:43" ht="16.5" x14ac:dyDescent="0.25">
      <c r="L39" s="95"/>
      <c r="M39" s="95"/>
      <c r="N39" s="95"/>
    </row>
    <row r="40" spans="12:43" ht="16.5" x14ac:dyDescent="0.25">
      <c r="L40" s="95"/>
      <c r="M40" s="95"/>
      <c r="N40" s="95"/>
    </row>
    <row r="41" spans="12:43" ht="16.5" x14ac:dyDescent="0.25">
      <c r="L41" s="95"/>
      <c r="M41" s="95"/>
      <c r="N41" s="95"/>
    </row>
    <row r="42" spans="12:43" ht="16.5" x14ac:dyDescent="0.25">
      <c r="L42" s="95"/>
      <c r="M42" s="95"/>
      <c r="N42" s="95"/>
    </row>
    <row r="62" spans="27:27" ht="15.75" x14ac:dyDescent="0.25">
      <c r="AA62" s="5"/>
    </row>
    <row r="63" spans="27:27" ht="15.75" x14ac:dyDescent="0.25">
      <c r="AA63" s="5"/>
    </row>
    <row r="64" spans="27:27" ht="15.75" x14ac:dyDescent="0.25">
      <c r="AA64" s="5"/>
    </row>
    <row r="65" spans="27:27" ht="15.75" x14ac:dyDescent="0.25">
      <c r="AA65" s="5"/>
    </row>
    <row r="66" spans="27:27" ht="15.75" x14ac:dyDescent="0.25">
      <c r="AA66" s="5"/>
    </row>
    <row r="67" spans="27:27" ht="15.75" x14ac:dyDescent="0.25">
      <c r="AA67" s="5"/>
    </row>
    <row r="68" spans="27:27" ht="15.75" x14ac:dyDescent="0.25">
      <c r="AA68" s="5"/>
    </row>
    <row r="69" spans="27:27" ht="15.75" x14ac:dyDescent="0.25">
      <c r="AA69" s="5"/>
    </row>
    <row r="70" spans="27:27" ht="15.75" x14ac:dyDescent="0.25">
      <c r="AA70" s="5"/>
    </row>
    <row r="71" spans="27:27" ht="15.75" x14ac:dyDescent="0.25">
      <c r="AA71" s="5"/>
    </row>
    <row r="72" spans="27:27" ht="15.75" x14ac:dyDescent="0.25">
      <c r="AA72" s="5"/>
    </row>
    <row r="73" spans="27:27" ht="15.75" x14ac:dyDescent="0.25">
      <c r="AA73" s="5"/>
    </row>
    <row r="74" spans="27:27" ht="15.75" x14ac:dyDescent="0.25">
      <c r="AA74" s="5"/>
    </row>
    <row r="75" spans="27:27" ht="15.75" x14ac:dyDescent="0.25">
      <c r="AA75" s="5"/>
    </row>
    <row r="76" spans="27:27" ht="15.75" x14ac:dyDescent="0.25">
      <c r="AA76" s="5"/>
    </row>
    <row r="77" spans="27:27" ht="15.75" x14ac:dyDescent="0.25">
      <c r="AA77" s="5"/>
    </row>
  </sheetData>
  <mergeCells count="14">
    <mergeCell ref="L34:N34"/>
    <mergeCell ref="L29:N29"/>
    <mergeCell ref="L30:N30"/>
    <mergeCell ref="L31:N31"/>
    <mergeCell ref="L32:N32"/>
    <mergeCell ref="L33:N33"/>
    <mergeCell ref="L41:N41"/>
    <mergeCell ref="L42:N42"/>
    <mergeCell ref="L35:N35"/>
    <mergeCell ref="L36:N36"/>
    <mergeCell ref="L37:N37"/>
    <mergeCell ref="L38:N38"/>
    <mergeCell ref="L39:N39"/>
    <mergeCell ref="L40:N40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9DA9-9960-41BC-AB3E-7D6144861719}">
  <sheetPr codeName="Planilha2"/>
  <dimension ref="A1:CK6"/>
  <sheetViews>
    <sheetView topLeftCell="B1" workbookViewId="0">
      <selection activeCell="B12" sqref="B12"/>
    </sheetView>
  </sheetViews>
  <sheetFormatPr defaultRowHeight="15" x14ac:dyDescent="0.25"/>
  <cols>
    <col min="1" max="1" width="8.7109375" customWidth="1"/>
    <col min="2" max="2" width="34.42578125" customWidth="1"/>
    <col min="3" max="3" width="33.42578125" customWidth="1"/>
    <col min="4" max="4" width="30.7109375" customWidth="1"/>
    <col min="5" max="5" width="17.7109375" customWidth="1"/>
    <col min="6" max="6" width="20.140625" customWidth="1"/>
    <col min="7" max="7" width="17.5703125" customWidth="1"/>
    <col min="8" max="8" width="18.7109375" customWidth="1"/>
    <col min="9" max="9" width="31.28515625" customWidth="1"/>
    <col min="10" max="10" width="9.85546875" customWidth="1"/>
    <col min="11" max="11" width="22.7109375" customWidth="1"/>
    <col min="12" max="12" width="22.28515625" customWidth="1"/>
    <col min="13" max="13" width="25.140625" customWidth="1"/>
    <col min="14" max="14" width="25" customWidth="1"/>
    <col min="15" max="15" width="17.42578125" customWidth="1"/>
    <col min="16" max="16" width="17.7109375" customWidth="1"/>
    <col min="17" max="18" width="14.5703125" customWidth="1"/>
    <col min="19" max="19" width="12.140625" customWidth="1"/>
    <col min="20" max="26" width="19.85546875" customWidth="1"/>
    <col min="27" max="33" width="13.85546875" customWidth="1"/>
    <col min="34" max="37" width="11.42578125" customWidth="1"/>
    <col min="38" max="38" width="42.7109375" customWidth="1"/>
    <col min="39" max="39" width="15" bestFit="1" customWidth="1"/>
    <col min="40" max="40" width="12.42578125" bestFit="1" customWidth="1"/>
    <col min="41" max="41" width="14.5703125" bestFit="1" customWidth="1"/>
    <col min="42" max="42" width="11.7109375" customWidth="1"/>
    <col min="43" max="43" width="8.7109375" customWidth="1"/>
    <col min="44" max="44" width="12.7109375" bestFit="1" customWidth="1"/>
    <col min="45" max="45" width="24.7109375" bestFit="1" customWidth="1"/>
    <col min="46" max="46" width="19.28515625" customWidth="1"/>
    <col min="47" max="47" width="16.5703125" bestFit="1" customWidth="1"/>
    <col min="48" max="48" width="12.7109375" bestFit="1" customWidth="1"/>
    <col min="49" max="49" width="13.85546875" bestFit="1" customWidth="1"/>
    <col min="50" max="50" width="11.7109375" bestFit="1" customWidth="1"/>
    <col min="51" max="51" width="21.140625" bestFit="1" customWidth="1"/>
    <col min="52" max="52" width="23.28515625" bestFit="1" customWidth="1"/>
    <col min="53" max="53" width="24.28515625" bestFit="1" customWidth="1"/>
    <col min="54" max="54" width="24.85546875" bestFit="1" customWidth="1"/>
    <col min="55" max="55" width="24.140625" customWidth="1"/>
    <col min="56" max="56" width="20.85546875" bestFit="1" customWidth="1"/>
    <col min="57" max="57" width="17.7109375" customWidth="1"/>
    <col min="58" max="58" width="12.85546875" bestFit="1" customWidth="1"/>
    <col min="59" max="59" width="13.5703125" bestFit="1" customWidth="1"/>
    <col min="60" max="60" width="10.85546875" bestFit="1" customWidth="1"/>
    <col min="76" max="76" width="14.28515625" bestFit="1" customWidth="1"/>
    <col min="77" max="77" width="18.7109375" bestFit="1" customWidth="1"/>
    <col min="78" max="78" width="6.42578125" bestFit="1" customWidth="1"/>
    <col min="79" max="79" width="11.5703125" bestFit="1" customWidth="1"/>
    <col min="80" max="80" width="18.7109375" bestFit="1" customWidth="1"/>
    <col min="81" max="81" width="18.28515625" bestFit="1" customWidth="1"/>
    <col min="82" max="82" width="18.140625" bestFit="1" customWidth="1"/>
    <col min="83" max="83" width="14.140625" bestFit="1" customWidth="1"/>
    <col min="84" max="84" width="10" bestFit="1" customWidth="1"/>
    <col min="85" max="85" width="8.7109375" bestFit="1" customWidth="1"/>
    <col min="86" max="86" width="9.7109375" bestFit="1" customWidth="1"/>
    <col min="87" max="87" width="17.28515625" bestFit="1" customWidth="1"/>
    <col min="88" max="88" width="8.5703125" bestFit="1" customWidth="1"/>
    <col min="89" max="89" width="16.140625" bestFit="1" customWidth="1"/>
  </cols>
  <sheetData>
    <row r="1" spans="1:89" s="90" customFormat="1" ht="16.5" x14ac:dyDescent="0.25">
      <c r="A1" s="90" t="s">
        <v>0</v>
      </c>
      <c r="B1" s="90" t="s">
        <v>1</v>
      </c>
      <c r="C1" s="90" t="s">
        <v>12</v>
      </c>
      <c r="D1" s="90" t="s">
        <v>11</v>
      </c>
      <c r="E1" s="90" t="s">
        <v>2</v>
      </c>
      <c r="F1" s="90" t="s">
        <v>4</v>
      </c>
      <c r="G1" s="90" t="s">
        <v>3</v>
      </c>
      <c r="H1" s="90" t="s">
        <v>6</v>
      </c>
      <c r="I1" s="90" t="s">
        <v>13</v>
      </c>
      <c r="J1" s="90" t="s">
        <v>5</v>
      </c>
      <c r="K1" s="90" t="s">
        <v>83</v>
      </c>
      <c r="L1" s="90" t="s">
        <v>7</v>
      </c>
      <c r="M1" s="90" t="s">
        <v>10</v>
      </c>
      <c r="N1" s="90" t="s">
        <v>84</v>
      </c>
      <c r="O1" s="90" t="s">
        <v>8</v>
      </c>
      <c r="P1" s="90" t="s">
        <v>9</v>
      </c>
      <c r="Q1" s="90" t="s">
        <v>14</v>
      </c>
      <c r="R1" s="90" t="s">
        <v>186</v>
      </c>
      <c r="S1" s="90" t="s">
        <v>15</v>
      </c>
      <c r="T1" s="90" t="s">
        <v>16</v>
      </c>
      <c r="U1" s="90" t="s">
        <v>17</v>
      </c>
      <c r="V1" s="91" t="s">
        <v>18</v>
      </c>
      <c r="W1" s="91" t="s">
        <v>19</v>
      </c>
      <c r="X1" s="91" t="s">
        <v>20</v>
      </c>
      <c r="Y1" s="90" t="s">
        <v>21</v>
      </c>
      <c r="Z1" s="91" t="s">
        <v>22</v>
      </c>
      <c r="AA1" s="90" t="s">
        <v>23</v>
      </c>
      <c r="AB1" s="90" t="s">
        <v>24</v>
      </c>
      <c r="AC1" s="90" t="s">
        <v>25</v>
      </c>
      <c r="AD1" s="90" t="s">
        <v>26</v>
      </c>
      <c r="AE1" s="90" t="s">
        <v>27</v>
      </c>
      <c r="AF1" s="90" t="s">
        <v>28</v>
      </c>
      <c r="AG1" s="90" t="s">
        <v>29</v>
      </c>
      <c r="AH1" s="90" t="s">
        <v>30</v>
      </c>
      <c r="AI1" s="90" t="s">
        <v>31</v>
      </c>
      <c r="AJ1" s="90" t="s">
        <v>32</v>
      </c>
      <c r="AK1" s="90" t="s">
        <v>33</v>
      </c>
      <c r="AL1" s="90" t="s">
        <v>34</v>
      </c>
      <c r="AM1" s="90" t="s">
        <v>228</v>
      </c>
      <c r="AN1" s="90" t="s">
        <v>35</v>
      </c>
      <c r="AO1" s="90" t="s">
        <v>36</v>
      </c>
      <c r="AP1" s="90" t="s">
        <v>37</v>
      </c>
      <c r="AQ1" s="90" t="s">
        <v>38</v>
      </c>
      <c r="AR1" s="90" t="s">
        <v>39</v>
      </c>
      <c r="AS1" s="90" t="s">
        <v>227</v>
      </c>
      <c r="AT1" s="90" t="s">
        <v>41</v>
      </c>
      <c r="AU1" s="90" t="s">
        <v>42</v>
      </c>
      <c r="AV1" s="90" t="s">
        <v>43</v>
      </c>
      <c r="AW1" s="90" t="s">
        <v>44</v>
      </c>
      <c r="AX1" s="90" t="s">
        <v>45</v>
      </c>
      <c r="AY1" s="90" t="s">
        <v>231</v>
      </c>
      <c r="AZ1" s="90" t="s">
        <v>46</v>
      </c>
      <c r="BA1" s="90" t="s">
        <v>47</v>
      </c>
      <c r="BB1" s="90" t="s">
        <v>48</v>
      </c>
      <c r="BC1" s="90" t="s">
        <v>49</v>
      </c>
      <c r="BD1" s="90" t="s">
        <v>50</v>
      </c>
      <c r="BE1" s="90" t="s">
        <v>51</v>
      </c>
      <c r="BF1" s="92" t="s">
        <v>52</v>
      </c>
      <c r="BH1" s="93" t="s">
        <v>53</v>
      </c>
      <c r="BI1" s="93" t="s">
        <v>54</v>
      </c>
      <c r="BJ1" s="93" t="s">
        <v>55</v>
      </c>
      <c r="BK1" s="93" t="s">
        <v>56</v>
      </c>
      <c r="BL1" s="93" t="s">
        <v>57</v>
      </c>
      <c r="BM1" s="93" t="s">
        <v>58</v>
      </c>
      <c r="BN1" s="93" t="s">
        <v>59</v>
      </c>
      <c r="BO1" s="93" t="s">
        <v>60</v>
      </c>
      <c r="BP1" s="93" t="s">
        <v>61</v>
      </c>
      <c r="BQ1" s="93" t="s">
        <v>62</v>
      </c>
      <c r="BR1" s="93" t="s">
        <v>63</v>
      </c>
      <c r="BS1" s="93" t="s">
        <v>64</v>
      </c>
      <c r="BT1" s="93" t="s">
        <v>65</v>
      </c>
      <c r="BU1" s="93" t="s">
        <v>66</v>
      </c>
      <c r="BV1" s="93" t="s">
        <v>67</v>
      </c>
      <c r="BW1" s="93" t="s">
        <v>68</v>
      </c>
      <c r="BX1" s="94" t="s">
        <v>69</v>
      </c>
      <c r="BY1" s="94" t="s">
        <v>70</v>
      </c>
      <c r="BZ1" s="94" t="s">
        <v>71</v>
      </c>
      <c r="CA1" s="94" t="s">
        <v>72</v>
      </c>
      <c r="CB1" s="94" t="s">
        <v>73</v>
      </c>
      <c r="CC1" s="94" t="s">
        <v>74</v>
      </c>
      <c r="CD1" s="94" t="s">
        <v>75</v>
      </c>
      <c r="CE1" s="94" t="s">
        <v>76</v>
      </c>
      <c r="CF1" s="94" t="s">
        <v>77</v>
      </c>
      <c r="CG1" s="94" t="s">
        <v>78</v>
      </c>
      <c r="CH1" s="94" t="s">
        <v>79</v>
      </c>
      <c r="CI1" s="94" t="s">
        <v>80</v>
      </c>
      <c r="CJ1" s="94" t="s">
        <v>81</v>
      </c>
      <c r="CK1" s="94" t="s">
        <v>82</v>
      </c>
    </row>
    <row r="2" spans="1:89" s="5" customFormat="1" ht="16.5" x14ac:dyDescent="0.25">
      <c r="B2" s="5" t="s">
        <v>247</v>
      </c>
      <c r="C2" s="5" t="s">
        <v>245</v>
      </c>
      <c r="D2" s="5" t="s">
        <v>245</v>
      </c>
      <c r="E2" s="5" t="s">
        <v>245</v>
      </c>
      <c r="F2" s="5" t="s">
        <v>245</v>
      </c>
      <c r="G2" s="5" t="s">
        <v>246</v>
      </c>
      <c r="H2" s="5" t="s">
        <v>234</v>
      </c>
      <c r="I2" s="5" t="s">
        <v>235</v>
      </c>
      <c r="J2" s="5">
        <v>55</v>
      </c>
      <c r="K2" s="5">
        <v>5</v>
      </c>
      <c r="L2" s="5" t="s">
        <v>237</v>
      </c>
      <c r="M2" s="5" t="s">
        <v>197</v>
      </c>
      <c r="N2" s="5" t="s">
        <v>238</v>
      </c>
      <c r="V2" s="6"/>
      <c r="W2" s="6"/>
      <c r="X2" s="6"/>
      <c r="Z2" s="6"/>
      <c r="BF2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</row>
    <row r="3" spans="1:89" s="5" customFormat="1" ht="16.5" x14ac:dyDescent="0.25">
      <c r="B3" s="5" t="s">
        <v>248</v>
      </c>
      <c r="C3" s="5" t="s">
        <v>241</v>
      </c>
      <c r="D3" s="5" t="s">
        <v>241</v>
      </c>
      <c r="E3" s="5" t="s">
        <v>241</v>
      </c>
      <c r="F3" s="5" t="s">
        <v>241</v>
      </c>
      <c r="G3" s="5" t="s">
        <v>242</v>
      </c>
      <c r="H3" s="5" t="s">
        <v>234</v>
      </c>
      <c r="I3" s="5" t="s">
        <v>235</v>
      </c>
      <c r="J3" s="5">
        <v>892</v>
      </c>
      <c r="K3" s="5" t="s">
        <v>241</v>
      </c>
      <c r="L3" s="5" t="s">
        <v>237</v>
      </c>
      <c r="M3" s="5" t="s">
        <v>197</v>
      </c>
      <c r="N3" s="5" t="s">
        <v>238</v>
      </c>
      <c r="O3" s="89">
        <v>36495</v>
      </c>
      <c r="P3" s="89">
        <v>36506</v>
      </c>
      <c r="Q3" s="5">
        <v>1</v>
      </c>
      <c r="R3" s="5" t="s">
        <v>243</v>
      </c>
      <c r="S3" s="5" t="s">
        <v>243</v>
      </c>
      <c r="T3" s="5" t="s">
        <v>243</v>
      </c>
      <c r="U3" s="5" t="s">
        <v>243</v>
      </c>
      <c r="V3" s="6" t="s">
        <v>243</v>
      </c>
      <c r="W3" s="6" t="s">
        <v>243</v>
      </c>
      <c r="X3" s="6" t="s">
        <v>243</v>
      </c>
      <c r="Y3" s="5" t="s">
        <v>243</v>
      </c>
      <c r="Z3" s="6" t="s">
        <v>243</v>
      </c>
      <c r="AA3" s="5" t="s">
        <v>243</v>
      </c>
      <c r="AB3" s="5" t="s">
        <v>243</v>
      </c>
      <c r="AC3" s="5" t="s">
        <v>243</v>
      </c>
      <c r="AD3" s="5" t="s">
        <v>243</v>
      </c>
      <c r="AE3" s="5" t="s">
        <v>243</v>
      </c>
      <c r="AF3" s="5" t="s">
        <v>243</v>
      </c>
      <c r="AG3" s="5" t="s">
        <v>243</v>
      </c>
      <c r="AH3" s="5" t="s">
        <v>243</v>
      </c>
      <c r="AI3" s="5" t="s">
        <v>243</v>
      </c>
      <c r="AJ3" s="5" t="s">
        <v>243</v>
      </c>
      <c r="AK3" s="5" t="s">
        <v>243</v>
      </c>
      <c r="AL3" s="5" t="s">
        <v>244</v>
      </c>
      <c r="BF3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88"/>
      <c r="BY3" s="88"/>
      <c r="BZ3" s="88"/>
      <c r="CA3" s="88"/>
      <c r="CB3" s="88"/>
      <c r="CC3" s="88"/>
      <c r="CD3" s="88"/>
      <c r="CE3" s="88"/>
      <c r="CF3" s="88"/>
      <c r="CG3" s="88"/>
      <c r="CH3" s="88"/>
      <c r="CI3" s="88"/>
      <c r="CJ3" s="88"/>
      <c r="CK3" s="88"/>
    </row>
    <row r="4" spans="1:89" s="5" customFormat="1" ht="16.5" x14ac:dyDescent="0.25">
      <c r="B4" s="5" t="s">
        <v>249</v>
      </c>
      <c r="C4" s="5" t="s">
        <v>232</v>
      </c>
      <c r="D4" s="5" t="s">
        <v>232</v>
      </c>
      <c r="E4" s="5" t="s">
        <v>232</v>
      </c>
      <c r="F4" s="5" t="s">
        <v>232</v>
      </c>
      <c r="G4" s="5" t="s">
        <v>233</v>
      </c>
      <c r="H4" s="5" t="s">
        <v>234</v>
      </c>
      <c r="I4" s="5" t="s">
        <v>235</v>
      </c>
      <c r="J4" s="5">
        <v>4</v>
      </c>
      <c r="K4" s="5" t="s">
        <v>236</v>
      </c>
      <c r="L4" s="5" t="s">
        <v>237</v>
      </c>
      <c r="M4" s="5" t="s">
        <v>197</v>
      </c>
      <c r="N4" s="5" t="s">
        <v>238</v>
      </c>
      <c r="O4" s="89">
        <v>45545</v>
      </c>
      <c r="P4" s="89">
        <v>45516</v>
      </c>
      <c r="Q4" s="5">
        <v>1</v>
      </c>
      <c r="R4" s="5" t="s">
        <v>239</v>
      </c>
      <c r="S4" s="5" t="s">
        <v>239</v>
      </c>
      <c r="T4" s="5" t="s">
        <v>239</v>
      </c>
      <c r="U4" s="5" t="s">
        <v>239</v>
      </c>
      <c r="V4" s="6" t="s">
        <v>239</v>
      </c>
      <c r="W4" s="6" t="s">
        <v>239</v>
      </c>
      <c r="X4" s="6" t="s">
        <v>239</v>
      </c>
      <c r="Y4" s="5" t="s">
        <v>239</v>
      </c>
      <c r="Z4" s="6" t="s">
        <v>239</v>
      </c>
      <c r="AA4" s="5" t="s">
        <v>239</v>
      </c>
      <c r="AB4" s="5" t="s">
        <v>239</v>
      </c>
      <c r="AC4" s="5" t="s">
        <v>239</v>
      </c>
      <c r="AD4" s="5" t="s">
        <v>239</v>
      </c>
      <c r="AE4" s="5" t="s">
        <v>239</v>
      </c>
      <c r="AF4" s="5" t="s">
        <v>239</v>
      </c>
      <c r="AG4" s="5" t="s">
        <v>239</v>
      </c>
      <c r="AH4" s="5" t="s">
        <v>239</v>
      </c>
      <c r="AI4" s="5" t="s">
        <v>239</v>
      </c>
      <c r="AJ4" s="5" t="s">
        <v>239</v>
      </c>
      <c r="AK4" s="5" t="s">
        <v>239</v>
      </c>
      <c r="AL4" s="5" t="s">
        <v>240</v>
      </c>
      <c r="BF4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</row>
    <row r="5" spans="1:89" s="5" customFormat="1" ht="16.5" x14ac:dyDescent="0.25">
      <c r="A5" s="5">
        <v>3</v>
      </c>
      <c r="B5" s="5" t="s">
        <v>250</v>
      </c>
      <c r="C5" s="5" t="s">
        <v>203</v>
      </c>
      <c r="D5" s="5" t="s">
        <v>203</v>
      </c>
      <c r="E5" s="5" t="s">
        <v>203</v>
      </c>
      <c r="F5" s="5" t="s">
        <v>215</v>
      </c>
      <c r="G5" s="5" t="s">
        <v>216</v>
      </c>
      <c r="H5" s="5" t="s">
        <v>217</v>
      </c>
      <c r="I5" s="5" t="s">
        <v>218</v>
      </c>
      <c r="J5" s="5" t="s">
        <v>203</v>
      </c>
      <c r="K5" s="5" t="s">
        <v>219</v>
      </c>
      <c r="L5" s="5" t="s">
        <v>196</v>
      </c>
      <c r="M5" s="5" t="s">
        <v>197</v>
      </c>
      <c r="N5" s="5" t="s">
        <v>220</v>
      </c>
      <c r="O5" s="89">
        <v>35289</v>
      </c>
      <c r="P5" s="89">
        <v>35107</v>
      </c>
      <c r="Q5" s="5" t="s">
        <v>221</v>
      </c>
      <c r="R5" s="5" t="s">
        <v>222</v>
      </c>
      <c r="S5" s="5" t="s">
        <v>219</v>
      </c>
      <c r="T5" s="5" t="s">
        <v>223</v>
      </c>
      <c r="U5" s="5" t="s">
        <v>224</v>
      </c>
      <c r="V5" s="6" t="s">
        <v>222</v>
      </c>
      <c r="W5" s="6" t="s">
        <v>225</v>
      </c>
      <c r="X5" s="6" t="s">
        <v>222</v>
      </c>
      <c r="Y5" s="5" t="s">
        <v>222</v>
      </c>
      <c r="Z5" s="6" t="s">
        <v>222</v>
      </c>
      <c r="AA5" s="5" t="s">
        <v>203</v>
      </c>
      <c r="AB5" s="5" t="s">
        <v>225</v>
      </c>
      <c r="AC5" s="5" t="s">
        <v>224</v>
      </c>
      <c r="AD5" s="5" t="s">
        <v>224</v>
      </c>
      <c r="AE5" s="5" t="s">
        <v>222</v>
      </c>
      <c r="AF5" s="5" t="s">
        <v>222</v>
      </c>
      <c r="AG5" s="5" t="s">
        <v>224</v>
      </c>
      <c r="AH5" s="5" t="s">
        <v>224</v>
      </c>
      <c r="AI5" s="5" t="s">
        <v>222</v>
      </c>
      <c r="AJ5" s="5" t="s">
        <v>203</v>
      </c>
      <c r="AK5" s="5" t="s">
        <v>203</v>
      </c>
      <c r="AL5" s="5" t="s">
        <v>226</v>
      </c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88"/>
    </row>
    <row r="6" spans="1:89" s="5" customFormat="1" ht="16.5" x14ac:dyDescent="0.25">
      <c r="A6" s="5">
        <v>1</v>
      </c>
      <c r="B6" s="5" t="s">
        <v>251</v>
      </c>
      <c r="C6" s="5" t="s">
        <v>188</v>
      </c>
      <c r="D6" s="5" t="s">
        <v>189</v>
      </c>
      <c r="E6" s="5" t="s">
        <v>188</v>
      </c>
      <c r="F6" s="5" t="s">
        <v>190</v>
      </c>
      <c r="G6" s="5" t="s">
        <v>191</v>
      </c>
      <c r="H6" s="5" t="s">
        <v>192</v>
      </c>
      <c r="I6" s="5" t="s">
        <v>193</v>
      </c>
      <c r="J6" s="5" t="s">
        <v>194</v>
      </c>
      <c r="K6" s="5" t="s">
        <v>195</v>
      </c>
      <c r="L6" s="5" t="s">
        <v>196</v>
      </c>
      <c r="M6" s="5" t="s">
        <v>197</v>
      </c>
      <c r="N6" s="5" t="s">
        <v>198</v>
      </c>
      <c r="O6" s="89">
        <v>35289</v>
      </c>
      <c r="P6" s="89">
        <v>35289</v>
      </c>
      <c r="Q6" s="5">
        <v>1</v>
      </c>
      <c r="S6" s="5" t="s">
        <v>199</v>
      </c>
      <c r="T6" s="5" t="s">
        <v>200</v>
      </c>
      <c r="U6" s="5" t="s">
        <v>201</v>
      </c>
      <c r="V6" s="6" t="s">
        <v>202</v>
      </c>
      <c r="W6" s="6" t="s">
        <v>203</v>
      </c>
      <c r="X6" s="6" t="s">
        <v>204</v>
      </c>
      <c r="Y6" s="5" t="s">
        <v>205</v>
      </c>
      <c r="Z6" s="6" t="s">
        <v>206</v>
      </c>
      <c r="AA6" s="5" t="s">
        <v>200</v>
      </c>
      <c r="AB6" s="5" t="s">
        <v>207</v>
      </c>
      <c r="AC6" s="5" t="s">
        <v>208</v>
      </c>
      <c r="AD6" s="5" t="s">
        <v>209</v>
      </c>
      <c r="AE6" s="5" t="s">
        <v>210</v>
      </c>
      <c r="AF6" s="5" t="s">
        <v>211</v>
      </c>
      <c r="AG6" s="5" t="s">
        <v>212</v>
      </c>
      <c r="AH6" s="5" t="s">
        <v>206</v>
      </c>
      <c r="AI6" s="5" t="s">
        <v>208</v>
      </c>
      <c r="AJ6" s="5" t="s">
        <v>209</v>
      </c>
      <c r="AK6" s="5" t="s">
        <v>206</v>
      </c>
      <c r="AL6" s="5" t="s">
        <v>213</v>
      </c>
      <c r="AO6" s="5">
        <v>23</v>
      </c>
      <c r="AP6" s="5">
        <v>13</v>
      </c>
      <c r="AQ6" s="5">
        <v>10</v>
      </c>
      <c r="AR6" s="5">
        <v>13</v>
      </c>
      <c r="AZ6" s="5">
        <v>10</v>
      </c>
      <c r="BC6" s="5">
        <v>10</v>
      </c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88"/>
      <c r="BY6" s="88"/>
      <c r="BZ6" s="88"/>
      <c r="CA6" s="88"/>
      <c r="CB6" s="88"/>
      <c r="CC6" s="88"/>
      <c r="CD6" s="88"/>
      <c r="CE6" s="88"/>
      <c r="CF6" s="88"/>
      <c r="CG6" s="88"/>
      <c r="CH6" s="88"/>
      <c r="CI6" s="88"/>
      <c r="CJ6" s="88"/>
      <c r="CK6" s="88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</xdr:col>
                <xdr:colOff>676275</xdr:colOff>
                <xdr:row>0</xdr:row>
                <xdr:rowOff>0</xdr:rowOff>
              </from>
              <to>
                <xdr:col>3</xdr:col>
                <xdr:colOff>1971675</xdr:colOff>
                <xdr:row>1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CFDF8-9D1B-41B3-8809-D87562A7558E}">
  <sheetPr codeName="Planilha3"/>
  <dimension ref="A3:BC23"/>
  <sheetViews>
    <sheetView tabSelected="1" workbookViewId="0">
      <selection activeCell="A14" sqref="A14"/>
    </sheetView>
  </sheetViews>
  <sheetFormatPr defaultRowHeight="15" x14ac:dyDescent="0.25"/>
  <cols>
    <col min="1" max="1" width="22.85546875" customWidth="1"/>
    <col min="3" max="3" width="24.85546875" customWidth="1"/>
  </cols>
  <sheetData>
    <row r="3" spans="1:1" ht="15.75" x14ac:dyDescent="0.25">
      <c r="A3" s="5" t="s">
        <v>35</v>
      </c>
    </row>
    <row r="4" spans="1:1" ht="15.75" x14ac:dyDescent="0.25">
      <c r="A4" s="5" t="s">
        <v>36</v>
      </c>
    </row>
    <row r="5" spans="1:1" ht="15.75" x14ac:dyDescent="0.25">
      <c r="A5" s="5" t="s">
        <v>37</v>
      </c>
    </row>
    <row r="6" spans="1:1" ht="15.75" x14ac:dyDescent="0.25">
      <c r="A6" s="5" t="s">
        <v>38</v>
      </c>
    </row>
    <row r="7" spans="1:1" ht="15.75" x14ac:dyDescent="0.25">
      <c r="A7" s="5" t="s">
        <v>39</v>
      </c>
    </row>
    <row r="8" spans="1:1" ht="15.75" x14ac:dyDescent="0.25">
      <c r="A8" s="5" t="s">
        <v>40</v>
      </c>
    </row>
    <row r="9" spans="1:1" ht="15.75" x14ac:dyDescent="0.25">
      <c r="A9" s="5" t="s">
        <v>230</v>
      </c>
    </row>
    <row r="10" spans="1:1" ht="15.75" x14ac:dyDescent="0.25">
      <c r="A10" s="5" t="s">
        <v>229</v>
      </c>
    </row>
    <row r="11" spans="1:1" ht="15.75" x14ac:dyDescent="0.25">
      <c r="A11" s="5" t="s">
        <v>43</v>
      </c>
    </row>
    <row r="12" spans="1:1" ht="15.75" x14ac:dyDescent="0.25">
      <c r="A12" s="5" t="s">
        <v>44</v>
      </c>
    </row>
    <row r="13" spans="1:1" ht="15.75" x14ac:dyDescent="0.25">
      <c r="A13" s="5" t="s">
        <v>45</v>
      </c>
    </row>
    <row r="14" spans="1:1" ht="15.75" x14ac:dyDescent="0.25">
      <c r="A14" s="5" t="s">
        <v>231</v>
      </c>
    </row>
    <row r="15" spans="1:1" ht="15.75" x14ac:dyDescent="0.25">
      <c r="A15" s="5" t="s">
        <v>46</v>
      </c>
    </row>
    <row r="16" spans="1:1" ht="15.75" x14ac:dyDescent="0.25">
      <c r="A16" s="5" t="s">
        <v>47</v>
      </c>
    </row>
    <row r="17" spans="1:55" ht="15.75" x14ac:dyDescent="0.25">
      <c r="A17" s="5" t="s">
        <v>48</v>
      </c>
    </row>
    <row r="18" spans="1:55" ht="15.75" x14ac:dyDescent="0.25">
      <c r="A18" s="5" t="s">
        <v>49</v>
      </c>
    </row>
    <row r="23" spans="1:55" x14ac:dyDescent="0.25">
      <c r="A23">
        <v>30</v>
      </c>
      <c r="B23">
        <v>170</v>
      </c>
      <c r="C23">
        <v>0</v>
      </c>
      <c r="D23">
        <v>150</v>
      </c>
      <c r="E23">
        <v>85</v>
      </c>
      <c r="F23">
        <v>0</v>
      </c>
      <c r="G23">
        <v>70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40</v>
      </c>
      <c r="R23">
        <v>50</v>
      </c>
      <c r="S23">
        <v>30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953FB-CF82-4ED7-95A5-18DACE4708F6}">
  <sheetPr codeName="Planilha13"/>
  <dimension ref="A1:O104"/>
  <sheetViews>
    <sheetView showGridLines="0" showRuler="0" view="pageLayout" zoomScaleNormal="100" workbookViewId="0">
      <selection activeCell="L1" sqref="L1"/>
    </sheetView>
  </sheetViews>
  <sheetFormatPr defaultRowHeight="15" x14ac:dyDescent="0.25"/>
  <cols>
    <col min="1" max="1" width="11.140625" style="81" customWidth="1"/>
    <col min="2" max="5" width="10.5703125" customWidth="1"/>
    <col min="6" max="7" width="1.28515625" customWidth="1"/>
    <col min="8" max="8" width="12.7109375" customWidth="1"/>
    <col min="9" max="9" width="10.5703125" customWidth="1"/>
    <col min="10" max="10" width="8.42578125" customWidth="1"/>
    <col min="11" max="11" width="10.5703125" hidden="1" customWidth="1"/>
  </cols>
  <sheetData>
    <row r="1" spans="1:15" x14ac:dyDescent="0.25">
      <c r="A1" s="8"/>
      <c r="B1" s="146"/>
      <c r="C1" s="146"/>
      <c r="D1" s="9"/>
      <c r="E1" s="10"/>
      <c r="F1" s="10"/>
      <c r="G1" s="10"/>
      <c r="H1" s="10"/>
      <c r="I1" s="147" t="s">
        <v>85</v>
      </c>
      <c r="J1" s="147"/>
      <c r="K1" s="11"/>
      <c r="L1" s="12">
        <v>5</v>
      </c>
    </row>
    <row r="2" spans="1:15" ht="7.9" customHeight="1" x14ac:dyDescent="0.25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5"/>
    </row>
    <row r="3" spans="1:15" ht="16.5" x14ac:dyDescent="0.3">
      <c r="A3" s="148" t="s">
        <v>86</v>
      </c>
      <c r="B3" s="149"/>
      <c r="C3" s="149"/>
      <c r="D3" s="149"/>
      <c r="E3" s="149"/>
      <c r="F3" s="149"/>
      <c r="G3" s="149"/>
      <c r="H3" s="149"/>
      <c r="I3" s="149"/>
      <c r="J3" s="16" t="s">
        <v>87</v>
      </c>
      <c r="K3" s="17"/>
      <c r="L3" s="18">
        <v>3</v>
      </c>
    </row>
    <row r="4" spans="1:15" ht="7.9" customHeight="1" x14ac:dyDescent="0.25">
      <c r="A4" s="19"/>
      <c r="B4" s="20"/>
      <c r="C4" s="20"/>
      <c r="D4" s="20"/>
      <c r="E4" s="20"/>
      <c r="F4" s="20"/>
      <c r="G4" s="20"/>
      <c r="H4" s="20"/>
      <c r="I4" s="21"/>
      <c r="J4" s="21"/>
      <c r="K4" s="14"/>
      <c r="L4" s="15"/>
    </row>
    <row r="5" spans="1:15" ht="15.6" customHeight="1" x14ac:dyDescent="0.25">
      <c r="A5" s="19" t="s">
        <v>88</v>
      </c>
      <c r="B5" s="100" t="s">
        <v>214</v>
      </c>
      <c r="C5" s="100"/>
      <c r="D5" s="100"/>
      <c r="E5" s="100"/>
      <c r="F5" s="23"/>
      <c r="G5" s="23"/>
      <c r="H5" s="24" t="s">
        <v>89</v>
      </c>
      <c r="I5" s="100" t="s">
        <v>203</v>
      </c>
      <c r="J5" s="100"/>
      <c r="K5" s="100"/>
      <c r="L5" s="144"/>
    </row>
    <row r="6" spans="1:15" ht="15" customHeight="1" x14ac:dyDescent="0.25">
      <c r="A6" s="19" t="s">
        <v>90</v>
      </c>
      <c r="B6" s="100" t="s">
        <v>203</v>
      </c>
      <c r="C6" s="100"/>
      <c r="D6" s="100"/>
      <c r="E6" s="100"/>
      <c r="F6" s="26"/>
      <c r="G6" s="26"/>
      <c r="H6" s="24" t="s">
        <v>91</v>
      </c>
      <c r="I6" s="100" t="s">
        <v>215</v>
      </c>
      <c r="J6" s="100"/>
      <c r="K6" s="100"/>
      <c r="L6" s="144"/>
    </row>
    <row r="7" spans="1:15" ht="15" customHeight="1" x14ac:dyDescent="0.25">
      <c r="A7" s="19" t="s">
        <v>92</v>
      </c>
      <c r="B7" s="100" t="s">
        <v>203</v>
      </c>
      <c r="C7" s="100"/>
      <c r="D7" s="100"/>
      <c r="E7" s="100"/>
      <c r="F7" s="26"/>
      <c r="G7" s="26"/>
      <c r="H7" s="24" t="s">
        <v>93</v>
      </c>
      <c r="I7" s="100" t="s">
        <v>216</v>
      </c>
      <c r="J7" s="100"/>
      <c r="K7" s="100"/>
      <c r="L7" s="144"/>
      <c r="O7" s="27"/>
    </row>
    <row r="8" spans="1:15" ht="15" customHeight="1" x14ac:dyDescent="0.25">
      <c r="A8" s="19" t="s">
        <v>94</v>
      </c>
      <c r="B8" s="100"/>
      <c r="C8" s="100"/>
      <c r="D8" s="82" t="s">
        <v>5</v>
      </c>
      <c r="E8" s="22"/>
      <c r="F8" s="26"/>
      <c r="G8" s="26"/>
      <c r="H8" s="26" t="s">
        <v>95</v>
      </c>
      <c r="I8" s="100" t="s">
        <v>196</v>
      </c>
      <c r="J8" s="100"/>
      <c r="K8" s="100"/>
      <c r="L8" s="144"/>
    </row>
    <row r="9" spans="1:15" x14ac:dyDescent="0.25">
      <c r="A9" s="19" t="s">
        <v>96</v>
      </c>
      <c r="B9" s="28">
        <v>35289</v>
      </c>
      <c r="C9" s="145" t="s">
        <v>97</v>
      </c>
      <c r="D9" s="145"/>
      <c r="E9" s="29">
        <v>35107</v>
      </c>
      <c r="F9" s="26"/>
      <c r="G9" s="26"/>
      <c r="H9" s="26" t="s">
        <v>98</v>
      </c>
      <c r="I9" s="23" t="s">
        <v>219</v>
      </c>
      <c r="J9" s="82" t="s">
        <v>185</v>
      </c>
      <c r="K9" s="23"/>
      <c r="L9" s="25" t="s">
        <v>197</v>
      </c>
    </row>
    <row r="10" spans="1:15" ht="7.9" customHeight="1" x14ac:dyDescent="0.25">
      <c r="A10" s="19"/>
      <c r="B10" s="30"/>
      <c r="C10" s="30"/>
      <c r="D10" s="30"/>
      <c r="E10" s="30"/>
      <c r="F10" s="30"/>
      <c r="G10" s="30"/>
      <c r="H10" s="30"/>
      <c r="I10" s="30"/>
      <c r="J10" s="30"/>
      <c r="K10" s="14"/>
      <c r="L10" s="15"/>
    </row>
    <row r="11" spans="1:15" ht="16.5" x14ac:dyDescent="0.25">
      <c r="A11" s="101" t="s">
        <v>99</v>
      </c>
      <c r="B11" s="102"/>
      <c r="C11" s="102"/>
      <c r="D11" s="102"/>
      <c r="E11" s="102"/>
      <c r="F11" s="102"/>
      <c r="G11" s="84"/>
      <c r="H11" s="85" t="s">
        <v>187</v>
      </c>
      <c r="I11" s="86" t="s">
        <v>222</v>
      </c>
      <c r="J11" s="85" t="s">
        <v>100</v>
      </c>
      <c r="K11" s="83"/>
      <c r="L11" s="87" t="s">
        <v>219</v>
      </c>
    </row>
    <row r="12" spans="1:15" ht="6.6" customHeight="1" x14ac:dyDescent="0.25">
      <c r="A12" s="31"/>
      <c r="B12" s="21"/>
      <c r="C12" s="21"/>
      <c r="D12" s="21"/>
      <c r="E12" s="21"/>
      <c r="F12" s="21"/>
      <c r="G12" s="21"/>
      <c r="H12" s="21"/>
      <c r="I12" s="21"/>
      <c r="J12" s="21"/>
      <c r="K12" s="14"/>
      <c r="L12" s="15"/>
    </row>
    <row r="13" spans="1:15" x14ac:dyDescent="0.25">
      <c r="A13" s="32" t="s">
        <v>101</v>
      </c>
      <c r="B13" s="143" t="s">
        <v>223</v>
      </c>
      <c r="C13" s="143"/>
      <c r="D13" s="143"/>
      <c r="E13" s="143"/>
      <c r="F13" s="33"/>
      <c r="G13" s="33"/>
      <c r="H13" s="24" t="s">
        <v>102</v>
      </c>
      <c r="I13" s="139" t="s">
        <v>203</v>
      </c>
      <c r="J13" s="139"/>
      <c r="K13" s="139"/>
      <c r="L13" s="140"/>
    </row>
    <row r="14" spans="1:15" x14ac:dyDescent="0.25">
      <c r="A14" s="32" t="s">
        <v>103</v>
      </c>
      <c r="B14" s="139" t="s">
        <v>224</v>
      </c>
      <c r="C14" s="139"/>
      <c r="D14" s="139"/>
      <c r="E14" s="139"/>
      <c r="F14" s="33"/>
      <c r="G14" s="33"/>
      <c r="H14" s="24" t="s">
        <v>104</v>
      </c>
      <c r="I14" s="139" t="s">
        <v>225</v>
      </c>
      <c r="J14" s="139"/>
      <c r="K14" s="139"/>
      <c r="L14" s="140"/>
    </row>
    <row r="15" spans="1:15" x14ac:dyDescent="0.25">
      <c r="A15" s="35" t="s">
        <v>105</v>
      </c>
      <c r="B15" s="139" t="s">
        <v>222</v>
      </c>
      <c r="C15" s="139"/>
      <c r="D15" s="139"/>
      <c r="E15" s="139"/>
      <c r="F15" s="33"/>
      <c r="G15" s="33"/>
      <c r="H15" s="24" t="s">
        <v>106</v>
      </c>
      <c r="I15" s="139" t="s">
        <v>224</v>
      </c>
      <c r="J15" s="139"/>
      <c r="K15" s="139"/>
      <c r="L15" s="140"/>
    </row>
    <row r="16" spans="1:15" ht="13.9" customHeight="1" x14ac:dyDescent="0.25">
      <c r="A16" s="35" t="s">
        <v>107</v>
      </c>
      <c r="B16" s="139" t="s">
        <v>225</v>
      </c>
      <c r="C16" s="139"/>
      <c r="D16" s="139"/>
      <c r="E16" s="139"/>
      <c r="F16" s="33"/>
      <c r="G16" s="33"/>
      <c r="H16" s="24" t="s">
        <v>108</v>
      </c>
      <c r="I16" s="139" t="s">
        <v>224</v>
      </c>
      <c r="J16" s="139"/>
      <c r="K16" s="139"/>
      <c r="L16" s="140"/>
    </row>
    <row r="17" spans="1:12" ht="13.9" customHeight="1" x14ac:dyDescent="0.25">
      <c r="A17" s="35" t="s">
        <v>109</v>
      </c>
      <c r="B17" s="139" t="s">
        <v>222</v>
      </c>
      <c r="C17" s="139"/>
      <c r="D17" s="139"/>
      <c r="E17" s="139"/>
      <c r="F17" s="33"/>
      <c r="G17" s="33"/>
      <c r="H17" s="24" t="s">
        <v>110</v>
      </c>
      <c r="I17" s="139" t="s">
        <v>222</v>
      </c>
      <c r="J17" s="139"/>
      <c r="K17" s="139"/>
      <c r="L17" s="140"/>
    </row>
    <row r="18" spans="1:12" ht="13.9" customHeight="1" x14ac:dyDescent="0.25">
      <c r="A18" s="32" t="s">
        <v>111</v>
      </c>
      <c r="B18" s="139" t="s">
        <v>222</v>
      </c>
      <c r="C18" s="139"/>
      <c r="D18" s="139"/>
      <c r="E18" s="139"/>
      <c r="F18" s="33"/>
      <c r="G18" s="33"/>
      <c r="H18" s="24" t="s">
        <v>112</v>
      </c>
      <c r="I18" s="139" t="s">
        <v>222</v>
      </c>
      <c r="J18" s="139"/>
      <c r="K18" s="139"/>
      <c r="L18" s="140"/>
    </row>
    <row r="19" spans="1:12" ht="13.9" customHeight="1" x14ac:dyDescent="0.25">
      <c r="A19" s="35" t="s">
        <v>113</v>
      </c>
      <c r="B19" s="139" t="s">
        <v>222</v>
      </c>
      <c r="C19" s="139"/>
      <c r="D19" s="139"/>
      <c r="E19" s="139"/>
      <c r="F19" s="33"/>
      <c r="G19" s="33"/>
      <c r="H19" s="24" t="s">
        <v>114</v>
      </c>
      <c r="I19" s="139" t="s">
        <v>224</v>
      </c>
      <c r="J19" s="139"/>
      <c r="K19" s="139"/>
      <c r="L19" s="140"/>
    </row>
    <row r="20" spans="1:12" x14ac:dyDescent="0.25">
      <c r="A20" s="32" t="s">
        <v>115</v>
      </c>
      <c r="B20" s="34" t="s">
        <v>224</v>
      </c>
      <c r="C20" s="33" t="s">
        <v>116</v>
      </c>
      <c r="D20" s="139" t="s">
        <v>222</v>
      </c>
      <c r="E20" s="139"/>
      <c r="F20" s="33"/>
      <c r="G20" s="33"/>
      <c r="H20" s="24" t="s">
        <v>117</v>
      </c>
      <c r="I20" s="34" t="s">
        <v>203</v>
      </c>
      <c r="J20" s="33" t="s">
        <v>118</v>
      </c>
      <c r="K20" s="33"/>
      <c r="L20" s="36" t="s">
        <v>203</v>
      </c>
    </row>
    <row r="21" spans="1:12" x14ac:dyDescent="0.25">
      <c r="A21" s="141" t="s">
        <v>119</v>
      </c>
      <c r="B21" s="142"/>
      <c r="C21" s="139" t="s">
        <v>226</v>
      </c>
      <c r="D21" s="139"/>
      <c r="E21" s="139"/>
      <c r="F21" s="139"/>
      <c r="G21" s="139"/>
      <c r="H21" s="139"/>
      <c r="I21" s="139"/>
      <c r="J21" s="139"/>
      <c r="K21" s="139"/>
      <c r="L21" s="140"/>
    </row>
    <row r="22" spans="1:12" ht="10.9" customHeight="1" x14ac:dyDescent="0.25">
      <c r="A22" s="37"/>
      <c r="C22" s="104"/>
      <c r="D22" s="104"/>
      <c r="E22" s="104"/>
      <c r="F22" s="104"/>
      <c r="G22" s="104"/>
      <c r="H22" s="104"/>
      <c r="I22" s="104"/>
      <c r="J22" s="104"/>
      <c r="K22" s="104"/>
      <c r="L22" s="15"/>
    </row>
    <row r="23" spans="1:12" ht="16.5" x14ac:dyDescent="0.25">
      <c r="A23" s="101" t="s">
        <v>120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36"/>
    </row>
    <row r="24" spans="1:12" ht="15.6" customHeight="1" x14ac:dyDescent="0.25">
      <c r="A24" s="3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15"/>
    </row>
    <row r="25" spans="1:12" x14ac:dyDescent="0.25">
      <c r="A25" s="137" t="s">
        <v>121</v>
      </c>
      <c r="B25" s="137"/>
      <c r="C25" s="138" t="s">
        <v>122</v>
      </c>
      <c r="D25" s="138"/>
      <c r="E25" s="21"/>
      <c r="F25" s="21"/>
      <c r="G25" s="21"/>
      <c r="H25" s="21"/>
      <c r="I25" s="21"/>
      <c r="J25" s="21"/>
      <c r="K25" s="14"/>
      <c r="L25" s="15"/>
    </row>
    <row r="26" spans="1:12" x14ac:dyDescent="0.25">
      <c r="A26" s="41" t="s">
        <v>123</v>
      </c>
      <c r="B26" s="42"/>
      <c r="C26" s="41" t="s">
        <v>124</v>
      </c>
      <c r="D26" s="41"/>
      <c r="E26" s="26"/>
      <c r="F26" s="21"/>
      <c r="G26" s="21"/>
      <c r="H26" s="21"/>
      <c r="I26" s="21"/>
      <c r="J26" s="21"/>
      <c r="K26" s="14"/>
      <c r="L26" s="15"/>
    </row>
    <row r="27" spans="1:12" x14ac:dyDescent="0.25">
      <c r="A27" s="41" t="s">
        <v>125</v>
      </c>
      <c r="B27" s="42"/>
      <c r="C27" s="41" t="s">
        <v>126</v>
      </c>
      <c r="D27" s="41"/>
      <c r="E27" s="26"/>
      <c r="F27" s="21"/>
      <c r="G27" s="21"/>
      <c r="H27" s="21"/>
      <c r="I27" s="21"/>
      <c r="J27" s="21"/>
      <c r="K27" s="14"/>
      <c r="L27" s="15"/>
    </row>
    <row r="28" spans="1:12" x14ac:dyDescent="0.25">
      <c r="A28" s="41" t="s">
        <v>127</v>
      </c>
      <c r="B28" s="42">
        <v>48</v>
      </c>
      <c r="C28" s="41" t="s">
        <v>128</v>
      </c>
      <c r="D28" s="41">
        <v>4</v>
      </c>
      <c r="E28" s="26"/>
      <c r="F28" s="21"/>
      <c r="G28" s="21"/>
      <c r="H28" s="21"/>
      <c r="I28" s="21"/>
      <c r="J28" s="21"/>
      <c r="K28" s="14"/>
      <c r="L28" s="15"/>
    </row>
    <row r="29" spans="1:12" x14ac:dyDescent="0.25">
      <c r="A29" s="41" t="s">
        <v>129</v>
      </c>
      <c r="B29" s="42"/>
      <c r="C29" s="41" t="s">
        <v>130</v>
      </c>
      <c r="D29" s="41">
        <v>8</v>
      </c>
      <c r="E29" s="26"/>
      <c r="F29" s="30"/>
      <c r="G29" s="30"/>
      <c r="H29" s="21"/>
      <c r="I29" s="21"/>
      <c r="J29" s="21"/>
      <c r="K29" s="14"/>
      <c r="L29" s="15"/>
    </row>
    <row r="30" spans="1:12" x14ac:dyDescent="0.25">
      <c r="A30" s="41" t="s">
        <v>131</v>
      </c>
      <c r="B30" s="42">
        <v>15</v>
      </c>
      <c r="C30" s="41" t="s">
        <v>132</v>
      </c>
      <c r="D30" s="41"/>
      <c r="E30" s="21"/>
      <c r="F30" s="30"/>
      <c r="G30" s="30"/>
      <c r="H30" s="21"/>
      <c r="I30" s="21"/>
      <c r="J30" s="21"/>
      <c r="K30" s="14"/>
      <c r="L30" s="15"/>
    </row>
    <row r="31" spans="1:12" x14ac:dyDescent="0.25">
      <c r="A31" s="41" t="s">
        <v>133</v>
      </c>
      <c r="B31" s="42"/>
      <c r="C31" s="41" t="s">
        <v>134</v>
      </c>
      <c r="D31" s="41"/>
      <c r="E31" s="21"/>
      <c r="F31" s="21"/>
      <c r="G31" s="21"/>
      <c r="H31" s="21"/>
      <c r="I31" s="21"/>
      <c r="J31" s="21"/>
      <c r="K31" s="14"/>
      <c r="L31" s="15"/>
    </row>
    <row r="32" spans="1:12" x14ac:dyDescent="0.25">
      <c r="A32" s="41" t="s">
        <v>128</v>
      </c>
      <c r="B32" s="43"/>
      <c r="C32" s="21"/>
      <c r="D32" s="21"/>
      <c r="E32" s="21"/>
      <c r="F32" s="21"/>
      <c r="G32" s="21"/>
      <c r="H32" s="21"/>
      <c r="I32" s="21"/>
      <c r="J32" s="21"/>
      <c r="K32" s="14"/>
      <c r="L32" s="15"/>
    </row>
    <row r="33" spans="1:12" ht="15.6" customHeight="1" x14ac:dyDescent="0.25">
      <c r="A33" s="41" t="s">
        <v>134</v>
      </c>
      <c r="B33" s="44"/>
      <c r="C33" s="45"/>
      <c r="D33" s="14"/>
      <c r="E33" s="115" t="s">
        <v>135</v>
      </c>
      <c r="F33" s="115"/>
      <c r="G33" s="115"/>
      <c r="H33" s="115"/>
      <c r="I33" s="119"/>
      <c r="J33" s="119"/>
      <c r="K33" s="14"/>
      <c r="L33" s="15"/>
    </row>
    <row r="34" spans="1:12" ht="17.45" customHeight="1" x14ac:dyDescent="0.25">
      <c r="A34" s="13"/>
      <c r="B34" s="21"/>
      <c r="C34" s="21"/>
      <c r="D34" s="21"/>
      <c r="E34" s="21"/>
      <c r="F34" s="14"/>
      <c r="G34" s="14"/>
      <c r="H34" s="14"/>
      <c r="I34" s="14"/>
      <c r="J34" s="14"/>
      <c r="K34" s="14"/>
      <c r="L34" s="15"/>
    </row>
    <row r="35" spans="1:12" ht="16.149999999999999" customHeight="1" x14ac:dyDescent="0.25">
      <c r="A35" s="101" t="s">
        <v>136</v>
      </c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36"/>
    </row>
    <row r="36" spans="1:12" ht="10.9" customHeight="1" x14ac:dyDescent="0.25">
      <c r="A36" s="46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47"/>
    </row>
    <row r="37" spans="1:12" x14ac:dyDescent="0.25">
      <c r="A37" s="137" t="s">
        <v>137</v>
      </c>
      <c r="B37" s="137"/>
      <c r="C37" s="40" t="s">
        <v>138</v>
      </c>
      <c r="D37" s="40" t="s">
        <v>139</v>
      </c>
      <c r="E37" s="38"/>
      <c r="F37" s="137" t="s">
        <v>140</v>
      </c>
      <c r="G37" s="137"/>
      <c r="H37" s="137"/>
      <c r="I37" s="137"/>
      <c r="J37" s="40" t="s">
        <v>138</v>
      </c>
      <c r="K37" s="40" t="s">
        <v>139</v>
      </c>
      <c r="L37" s="40" t="s">
        <v>139</v>
      </c>
    </row>
    <row r="38" spans="1:12" x14ac:dyDescent="0.25">
      <c r="A38" s="134" t="s">
        <v>35</v>
      </c>
      <c r="B38" s="134"/>
      <c r="C38" s="48"/>
      <c r="D38" s="48"/>
      <c r="E38" s="21"/>
      <c r="F38" s="134" t="s">
        <v>43</v>
      </c>
      <c r="G38" s="134"/>
      <c r="H38" s="134"/>
      <c r="I38" s="134"/>
      <c r="J38" s="49"/>
      <c r="K38" s="50"/>
      <c r="L38" s="50"/>
    </row>
    <row r="39" spans="1:12" x14ac:dyDescent="0.25">
      <c r="A39" s="134" t="s">
        <v>36</v>
      </c>
      <c r="B39" s="134"/>
      <c r="C39" s="48"/>
      <c r="D39" s="48"/>
      <c r="E39" s="21"/>
      <c r="F39" s="134" t="s">
        <v>44</v>
      </c>
      <c r="G39" s="134"/>
      <c r="H39" s="134"/>
      <c r="I39" s="134"/>
      <c r="J39" s="49"/>
      <c r="K39" s="50"/>
      <c r="L39" s="50"/>
    </row>
    <row r="40" spans="1:12" x14ac:dyDescent="0.25">
      <c r="A40" s="134" t="s">
        <v>37</v>
      </c>
      <c r="B40" s="134"/>
      <c r="C40" s="50"/>
      <c r="D40" s="50"/>
      <c r="E40" s="21"/>
      <c r="F40" s="135" t="s">
        <v>141</v>
      </c>
      <c r="G40" s="135"/>
      <c r="H40" s="135"/>
      <c r="I40" s="135"/>
      <c r="J40" s="49"/>
      <c r="K40" s="50"/>
      <c r="L40" s="50"/>
    </row>
    <row r="41" spans="1:12" x14ac:dyDescent="0.25">
      <c r="A41" s="134" t="s">
        <v>38</v>
      </c>
      <c r="B41" s="134"/>
      <c r="C41" s="50"/>
      <c r="D41" s="50"/>
      <c r="E41" s="21"/>
      <c r="F41" s="134" t="s">
        <v>142</v>
      </c>
      <c r="G41" s="134"/>
      <c r="H41" s="134"/>
      <c r="I41" s="134"/>
      <c r="J41" s="49"/>
      <c r="K41" s="50"/>
      <c r="L41" s="50"/>
    </row>
    <row r="42" spans="1:12" x14ac:dyDescent="0.25">
      <c r="A42" s="134" t="s">
        <v>39</v>
      </c>
      <c r="B42" s="134"/>
      <c r="C42" s="42"/>
      <c r="D42" s="42"/>
      <c r="E42" s="21"/>
      <c r="F42" s="134" t="s">
        <v>143</v>
      </c>
      <c r="G42" s="134"/>
      <c r="H42" s="134"/>
      <c r="I42" s="134"/>
      <c r="J42" s="49"/>
      <c r="K42" s="50"/>
      <c r="L42" s="50"/>
    </row>
    <row r="43" spans="1:12" x14ac:dyDescent="0.25">
      <c r="A43" s="134" t="s">
        <v>40</v>
      </c>
      <c r="B43" s="134"/>
      <c r="C43" s="42"/>
      <c r="D43" s="42"/>
      <c r="E43" s="21"/>
      <c r="F43" s="134" t="s">
        <v>144</v>
      </c>
      <c r="G43" s="134"/>
      <c r="H43" s="134"/>
      <c r="I43" s="134"/>
      <c r="J43" s="49"/>
      <c r="K43" s="50"/>
      <c r="L43" s="50"/>
    </row>
    <row r="44" spans="1:12" x14ac:dyDescent="0.25">
      <c r="A44" s="134" t="s">
        <v>41</v>
      </c>
      <c r="B44" s="134"/>
      <c r="C44" s="42"/>
      <c r="D44" s="42"/>
      <c r="E44" s="21"/>
      <c r="F44" s="134" t="s">
        <v>145</v>
      </c>
      <c r="G44" s="134"/>
      <c r="H44" s="134"/>
      <c r="I44" s="134"/>
      <c r="J44" s="50"/>
      <c r="K44" s="50"/>
      <c r="L44" s="50"/>
    </row>
    <row r="45" spans="1:12" x14ac:dyDescent="0.25">
      <c r="A45" s="134" t="s">
        <v>42</v>
      </c>
      <c r="B45" s="134"/>
      <c r="C45" s="42"/>
      <c r="D45" s="42"/>
      <c r="E45" s="21"/>
      <c r="F45" s="26"/>
      <c r="G45" s="26"/>
      <c r="H45" s="104"/>
      <c r="I45" s="104"/>
      <c r="J45" s="21"/>
      <c r="K45" s="14"/>
      <c r="L45" s="51"/>
    </row>
    <row r="46" spans="1:12" x14ac:dyDescent="0.25">
      <c r="A46" s="134" t="s">
        <v>146</v>
      </c>
      <c r="B46" s="134"/>
      <c r="C46" s="42"/>
      <c r="D46" s="42"/>
      <c r="E46" s="21"/>
      <c r="F46" s="104" t="s">
        <v>147</v>
      </c>
      <c r="G46" s="104"/>
      <c r="H46" s="104"/>
      <c r="I46" s="104"/>
      <c r="J46" s="21"/>
      <c r="K46" s="14"/>
      <c r="L46" s="47"/>
    </row>
    <row r="47" spans="1:12" x14ac:dyDescent="0.25">
      <c r="A47" s="52"/>
      <c r="B47" s="104"/>
      <c r="C47" s="104"/>
      <c r="E47" s="21"/>
      <c r="F47" s="104" t="s">
        <v>148</v>
      </c>
      <c r="G47" s="104"/>
      <c r="H47" s="104"/>
      <c r="I47" s="104"/>
      <c r="J47" s="21"/>
      <c r="K47" s="14"/>
      <c r="L47" s="47"/>
    </row>
    <row r="48" spans="1:12" ht="16.5" x14ac:dyDescent="0.25">
      <c r="A48" s="53" t="s">
        <v>149</v>
      </c>
      <c r="B48" s="115"/>
      <c r="C48" s="115"/>
      <c r="D48" s="54"/>
      <c r="E48" s="20"/>
      <c r="F48" s="104" t="s">
        <v>50</v>
      </c>
      <c r="G48" s="104"/>
      <c r="H48" s="104"/>
      <c r="I48" s="104"/>
      <c r="J48" s="21"/>
      <c r="K48" s="14"/>
      <c r="L48" s="47"/>
    </row>
    <row r="49" spans="1:12" ht="16.5" x14ac:dyDescent="0.25">
      <c r="A49" s="55"/>
      <c r="B49" s="56"/>
      <c r="C49" s="57"/>
      <c r="D49" s="58"/>
      <c r="E49" s="57"/>
      <c r="F49" s="59"/>
      <c r="G49" s="126"/>
      <c r="H49" s="126"/>
      <c r="I49" s="126"/>
      <c r="J49" s="60"/>
      <c r="K49" s="61"/>
      <c r="L49" s="62"/>
    </row>
    <row r="50" spans="1:12" ht="16.5" x14ac:dyDescent="0.25">
      <c r="A50" s="127" t="s">
        <v>150</v>
      </c>
      <c r="B50" s="128"/>
      <c r="C50" s="128"/>
      <c r="D50" s="128"/>
      <c r="E50" s="128"/>
      <c r="F50" s="128"/>
      <c r="G50" s="128"/>
      <c r="H50" s="128"/>
      <c r="I50" s="128"/>
      <c r="J50" s="128"/>
      <c r="K50" s="128"/>
      <c r="L50" s="129"/>
    </row>
    <row r="51" spans="1:12" ht="16.5" x14ac:dyDescent="0.25">
      <c r="A51" s="63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5"/>
    </row>
    <row r="52" spans="1:12" ht="16.5" x14ac:dyDescent="0.3">
      <c r="A52" s="117" t="s">
        <v>69</v>
      </c>
      <c r="B52" s="118"/>
      <c r="C52" s="66"/>
      <c r="D52" s="21"/>
      <c r="E52" s="21"/>
      <c r="F52" s="21"/>
      <c r="G52" s="21"/>
      <c r="H52" s="121" t="s">
        <v>80</v>
      </c>
      <c r="I52" s="121"/>
      <c r="J52" s="130"/>
      <c r="K52" s="130"/>
      <c r="L52" s="131"/>
    </row>
    <row r="53" spans="1:12" ht="16.5" x14ac:dyDescent="0.3">
      <c r="A53" s="117" t="s">
        <v>70</v>
      </c>
      <c r="B53" s="118"/>
      <c r="H53" s="118" t="s">
        <v>81</v>
      </c>
      <c r="I53" s="118"/>
      <c r="J53" s="132"/>
      <c r="K53" s="132"/>
      <c r="L53" s="133"/>
    </row>
    <row r="54" spans="1:12" ht="18" x14ac:dyDescent="0.3">
      <c r="A54" s="117" t="s">
        <v>71</v>
      </c>
      <c r="B54" s="118"/>
      <c r="C54" s="21"/>
      <c r="D54" s="21"/>
      <c r="E54" s="21"/>
      <c r="F54" s="21"/>
      <c r="G54" s="21"/>
      <c r="H54" s="121" t="s">
        <v>82</v>
      </c>
      <c r="I54" s="121"/>
      <c r="J54" s="122">
        <f>IF(UPPER(G7)="X", G6-2, IF(UPPER(G8)="X", G6-4, G6))</f>
        <v>0</v>
      </c>
      <c r="K54" s="122"/>
      <c r="L54" s="123"/>
    </row>
    <row r="55" spans="1:12" ht="16.5" x14ac:dyDescent="0.3">
      <c r="A55" s="117" t="s">
        <v>72</v>
      </c>
      <c r="B55" s="118"/>
      <c r="C55" s="21"/>
      <c r="D55" s="21"/>
      <c r="E55" s="21"/>
      <c r="F55" s="21"/>
      <c r="G55" s="21"/>
      <c r="H55" s="21"/>
      <c r="I55" s="21"/>
      <c r="J55" s="26"/>
      <c r="K55" s="67"/>
      <c r="L55" s="68"/>
    </row>
    <row r="56" spans="1:12" ht="15.75" x14ac:dyDescent="0.3">
      <c r="A56" s="117" t="s">
        <v>73</v>
      </c>
      <c r="B56" s="118"/>
      <c r="C56" s="21"/>
      <c r="D56" s="21"/>
      <c r="E56" s="21"/>
      <c r="F56" s="21"/>
      <c r="G56" s="21"/>
      <c r="H56" s="21"/>
      <c r="I56" s="21"/>
      <c r="J56" s="26"/>
      <c r="K56" s="14"/>
      <c r="L56" s="15"/>
    </row>
    <row r="57" spans="1:12" ht="16.5" x14ac:dyDescent="0.3">
      <c r="A57" s="117" t="s">
        <v>74</v>
      </c>
      <c r="B57" s="118"/>
      <c r="C57" s="21"/>
      <c r="D57" s="21"/>
      <c r="E57" s="21"/>
      <c r="F57" s="124" t="s">
        <v>151</v>
      </c>
      <c r="G57" s="124"/>
      <c r="H57" s="124"/>
      <c r="I57" s="124"/>
      <c r="J57" s="124"/>
      <c r="K57" s="124"/>
      <c r="L57" s="125"/>
    </row>
    <row r="58" spans="1:12" ht="15.75" x14ac:dyDescent="0.3">
      <c r="A58" s="117" t="s">
        <v>75</v>
      </c>
      <c r="B58" s="118"/>
      <c r="C58" s="21"/>
      <c r="D58" s="21"/>
      <c r="E58" s="21"/>
      <c r="F58" s="119"/>
      <c r="G58" s="119"/>
      <c r="H58" s="119"/>
      <c r="I58" s="21"/>
      <c r="J58" s="119"/>
      <c r="K58" s="119"/>
      <c r="L58" s="120"/>
    </row>
    <row r="59" spans="1:12" ht="15.75" x14ac:dyDescent="0.3">
      <c r="A59" s="117" t="s">
        <v>76</v>
      </c>
      <c r="B59" s="118"/>
      <c r="C59" s="21"/>
      <c r="D59" s="21"/>
      <c r="E59" s="21"/>
      <c r="F59" s="119"/>
      <c r="G59" s="119"/>
      <c r="H59" s="119"/>
      <c r="I59" s="38"/>
      <c r="J59" s="119"/>
      <c r="K59" s="119"/>
      <c r="L59" s="120"/>
    </row>
    <row r="60" spans="1:12" ht="15.75" x14ac:dyDescent="0.3">
      <c r="A60" s="117" t="s">
        <v>77</v>
      </c>
      <c r="B60" s="118"/>
      <c r="C60" s="21"/>
      <c r="D60" s="21"/>
      <c r="E60" s="21"/>
      <c r="F60" s="119"/>
      <c r="G60" s="119"/>
      <c r="H60" s="119"/>
      <c r="I60" s="21"/>
      <c r="J60" s="119"/>
      <c r="K60" s="119"/>
      <c r="L60" s="120"/>
    </row>
    <row r="61" spans="1:12" ht="15.75" x14ac:dyDescent="0.3">
      <c r="A61" s="117" t="s">
        <v>78</v>
      </c>
      <c r="B61" s="118"/>
      <c r="C61" s="21"/>
      <c r="D61" s="21"/>
      <c r="E61" s="21"/>
      <c r="F61" s="119"/>
      <c r="G61" s="119"/>
      <c r="H61" s="119"/>
      <c r="I61" s="21"/>
      <c r="J61" s="119"/>
      <c r="K61" s="119"/>
      <c r="L61" s="120"/>
    </row>
    <row r="62" spans="1:12" ht="16.5" x14ac:dyDescent="0.3">
      <c r="A62" s="117" t="s">
        <v>79</v>
      </c>
      <c r="B62" s="118"/>
      <c r="C62" s="64"/>
      <c r="D62" s="64"/>
      <c r="E62" s="64"/>
      <c r="F62" s="119"/>
      <c r="G62" s="119"/>
      <c r="H62" s="119"/>
      <c r="I62" s="64"/>
      <c r="J62" s="119"/>
      <c r="K62" s="119"/>
      <c r="L62" s="120"/>
    </row>
    <row r="63" spans="1:12" ht="16.5" x14ac:dyDescent="0.25">
      <c r="A63" s="46"/>
      <c r="B63" s="67"/>
      <c r="C63" s="67"/>
      <c r="D63" s="67"/>
      <c r="E63" s="67"/>
      <c r="F63" s="119"/>
      <c r="G63" s="119"/>
      <c r="H63" s="119"/>
      <c r="I63" s="67"/>
      <c r="J63" s="119"/>
      <c r="K63" s="119"/>
      <c r="L63" s="120"/>
    </row>
    <row r="64" spans="1:12" ht="16.5" x14ac:dyDescent="0.25">
      <c r="A64" s="69"/>
      <c r="B64" s="67"/>
      <c r="C64" s="67"/>
      <c r="D64" s="67"/>
      <c r="E64" s="67"/>
      <c r="F64" s="119"/>
      <c r="G64" s="119"/>
      <c r="H64" s="119"/>
      <c r="I64" s="67"/>
      <c r="J64" s="119"/>
      <c r="K64" s="119"/>
      <c r="L64" s="120"/>
    </row>
    <row r="65" spans="1:12" ht="15.6" customHeight="1" x14ac:dyDescent="0.25">
      <c r="A65" s="111" t="s">
        <v>152</v>
      </c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3"/>
    </row>
    <row r="66" spans="1:12" ht="16.5" x14ac:dyDescent="0.25">
      <c r="A66" s="69"/>
      <c r="B66" s="67"/>
      <c r="C66" s="67"/>
      <c r="D66" s="67"/>
      <c r="E66" s="67"/>
      <c r="L66" s="15"/>
    </row>
    <row r="67" spans="1:12" ht="16.5" x14ac:dyDescent="0.25">
      <c r="A67" s="114" t="s">
        <v>153</v>
      </c>
      <c r="B67" s="115"/>
      <c r="C67" s="115" t="s">
        <v>154</v>
      </c>
      <c r="D67" s="115"/>
      <c r="E67" s="67"/>
      <c r="H67" s="26"/>
      <c r="I67" s="115" t="s">
        <v>155</v>
      </c>
      <c r="J67" s="115"/>
      <c r="K67" s="115"/>
      <c r="L67" s="116"/>
    </row>
    <row r="68" spans="1:12" ht="16.5" x14ac:dyDescent="0.3">
      <c r="A68" s="109" t="s">
        <v>156</v>
      </c>
      <c r="B68" s="110"/>
      <c r="C68" s="97"/>
      <c r="D68" s="97"/>
      <c r="E68" s="67"/>
      <c r="I68" s="110" t="s">
        <v>157</v>
      </c>
      <c r="J68" s="110"/>
      <c r="K68" s="67"/>
      <c r="L68" s="68"/>
    </row>
    <row r="69" spans="1:12" ht="16.5" x14ac:dyDescent="0.3">
      <c r="A69" s="109" t="s">
        <v>158</v>
      </c>
      <c r="B69" s="110"/>
      <c r="C69" s="97"/>
      <c r="D69" s="97"/>
      <c r="E69" s="67"/>
      <c r="I69" s="110" t="s">
        <v>159</v>
      </c>
      <c r="J69" s="110"/>
      <c r="K69" s="67"/>
      <c r="L69" s="68"/>
    </row>
    <row r="70" spans="1:12" ht="16.5" x14ac:dyDescent="0.3">
      <c r="A70" s="109" t="s">
        <v>160</v>
      </c>
      <c r="B70" s="110"/>
      <c r="C70" s="97"/>
      <c r="D70" s="97"/>
      <c r="E70" s="67"/>
      <c r="I70" s="110" t="s">
        <v>161</v>
      </c>
      <c r="J70" s="110"/>
      <c r="K70" s="67"/>
      <c r="L70" s="68"/>
    </row>
    <row r="71" spans="1:12" ht="16.5" x14ac:dyDescent="0.3">
      <c r="A71" s="109" t="s">
        <v>162</v>
      </c>
      <c r="B71" s="110"/>
      <c r="C71" s="97"/>
      <c r="D71" s="97"/>
      <c r="E71" s="67"/>
      <c r="I71" s="110" t="s">
        <v>163</v>
      </c>
      <c r="J71" s="110"/>
      <c r="K71" s="67"/>
      <c r="L71" s="68"/>
    </row>
    <row r="72" spans="1:12" ht="16.5" x14ac:dyDescent="0.3">
      <c r="A72" s="109" t="s">
        <v>164</v>
      </c>
      <c r="B72" s="110"/>
      <c r="C72" s="97"/>
      <c r="D72" s="97"/>
      <c r="E72" s="67"/>
      <c r="F72" s="67"/>
      <c r="G72" s="67"/>
      <c r="H72" s="67"/>
      <c r="I72" s="67"/>
      <c r="J72" s="67"/>
      <c r="K72" s="67"/>
      <c r="L72" s="68"/>
    </row>
    <row r="73" spans="1:12" ht="16.5" x14ac:dyDescent="0.3">
      <c r="A73" s="109" t="s">
        <v>165</v>
      </c>
      <c r="B73" s="110"/>
      <c r="C73" s="97"/>
      <c r="D73" s="97"/>
      <c r="E73" s="67"/>
      <c r="F73" s="67"/>
      <c r="G73" s="67"/>
      <c r="H73" s="67"/>
      <c r="I73" s="67"/>
      <c r="J73" s="67"/>
      <c r="K73" s="67"/>
      <c r="L73" s="68"/>
    </row>
    <row r="74" spans="1:12" ht="16.5" x14ac:dyDescent="0.3">
      <c r="A74" s="109" t="s">
        <v>166</v>
      </c>
      <c r="B74" s="110"/>
      <c r="C74" s="97"/>
      <c r="D74" s="97"/>
      <c r="E74" s="67"/>
      <c r="F74" s="67"/>
      <c r="G74" s="67"/>
      <c r="H74" s="67"/>
      <c r="I74" s="67"/>
      <c r="J74" s="67"/>
      <c r="K74" s="67"/>
      <c r="L74" s="68"/>
    </row>
    <row r="75" spans="1:12" ht="16.5" x14ac:dyDescent="0.3">
      <c r="A75" s="109" t="s">
        <v>167</v>
      </c>
      <c r="B75" s="110"/>
      <c r="C75" s="97"/>
      <c r="D75" s="97"/>
      <c r="E75" s="67"/>
      <c r="F75" s="67"/>
      <c r="G75" s="67"/>
      <c r="H75" s="67"/>
      <c r="I75" s="67"/>
      <c r="J75" s="67"/>
      <c r="K75" s="67"/>
      <c r="L75" s="68"/>
    </row>
    <row r="76" spans="1:12" ht="16.5" x14ac:dyDescent="0.3">
      <c r="A76" s="109" t="s">
        <v>168</v>
      </c>
      <c r="B76" s="110"/>
      <c r="C76" s="97"/>
      <c r="D76" s="97"/>
      <c r="E76" s="67"/>
      <c r="F76" s="67"/>
      <c r="G76" s="67"/>
      <c r="H76" s="67"/>
      <c r="I76" s="67"/>
      <c r="J76" s="67"/>
      <c r="K76" s="67"/>
      <c r="L76" s="68"/>
    </row>
    <row r="77" spans="1:12" ht="16.5" x14ac:dyDescent="0.3">
      <c r="A77" s="109" t="s">
        <v>169</v>
      </c>
      <c r="B77" s="110"/>
      <c r="C77" s="97"/>
      <c r="D77" s="97"/>
      <c r="E77" s="67"/>
      <c r="F77" s="67"/>
      <c r="G77" s="67"/>
      <c r="H77" s="67"/>
      <c r="I77" s="67"/>
      <c r="J77" s="67"/>
      <c r="K77" s="67"/>
      <c r="L77" s="68"/>
    </row>
    <row r="78" spans="1:12" ht="16.5" x14ac:dyDescent="0.25">
      <c r="A78" s="109" t="s">
        <v>170</v>
      </c>
      <c r="B78" s="110"/>
      <c r="C78" s="97"/>
      <c r="D78" s="97"/>
      <c r="E78" s="67"/>
      <c r="F78" s="67"/>
      <c r="G78" s="67"/>
      <c r="L78" s="15"/>
    </row>
    <row r="79" spans="1:12" ht="16.5" x14ac:dyDescent="0.25">
      <c r="A79" s="109" t="s">
        <v>171</v>
      </c>
      <c r="B79" s="110"/>
      <c r="C79" s="97"/>
      <c r="D79" s="97"/>
      <c r="E79" s="67"/>
      <c r="F79" s="67"/>
      <c r="G79" s="67"/>
      <c r="L79" s="15"/>
    </row>
    <row r="80" spans="1:12" ht="16.5" x14ac:dyDescent="0.25">
      <c r="A80" s="109" t="s">
        <v>172</v>
      </c>
      <c r="B80" s="110"/>
      <c r="C80" s="97"/>
      <c r="D80" s="97"/>
      <c r="E80" s="67"/>
      <c r="F80" s="67"/>
      <c r="G80" s="67"/>
      <c r="L80" s="15"/>
    </row>
    <row r="81" spans="1:12" ht="16.5" x14ac:dyDescent="0.25">
      <c r="A81" s="109" t="s">
        <v>173</v>
      </c>
      <c r="B81" s="110"/>
      <c r="C81" s="97"/>
      <c r="D81" s="97"/>
      <c r="E81" s="67"/>
      <c r="F81" s="67"/>
      <c r="G81" s="67"/>
      <c r="L81" s="15"/>
    </row>
    <row r="82" spans="1:12" ht="16.5" x14ac:dyDescent="0.25">
      <c r="A82" s="109" t="s">
        <v>174</v>
      </c>
      <c r="B82" s="110"/>
      <c r="C82" s="97"/>
      <c r="D82" s="97"/>
      <c r="E82" s="67"/>
      <c r="F82" s="67"/>
      <c r="G82" s="67"/>
      <c r="L82" s="15"/>
    </row>
    <row r="83" spans="1:12" ht="16.5" x14ac:dyDescent="0.25">
      <c r="A83" s="31"/>
      <c r="B83" s="21"/>
      <c r="C83" s="67"/>
      <c r="D83" s="67"/>
      <c r="E83" s="67"/>
      <c r="F83" s="67"/>
      <c r="G83" s="67"/>
      <c r="L83" s="15"/>
    </row>
    <row r="84" spans="1:12" x14ac:dyDescent="0.25">
      <c r="A84" s="103" t="s">
        <v>175</v>
      </c>
      <c r="B84" s="104"/>
      <c r="C84" s="104"/>
      <c r="D84" s="104"/>
      <c r="E84" s="104"/>
      <c r="F84" s="104"/>
      <c r="G84" s="104"/>
      <c r="H84" s="104"/>
      <c r="I84" s="104"/>
      <c r="J84" s="104"/>
      <c r="K84" s="104"/>
      <c r="L84" s="105"/>
    </row>
    <row r="85" spans="1:12" ht="15.6" customHeight="1" x14ac:dyDescent="0.25">
      <c r="A85" s="37"/>
      <c r="L85" s="15"/>
    </row>
    <row r="86" spans="1:12" ht="15.6" customHeight="1" x14ac:dyDescent="0.25">
      <c r="A86" s="106" t="s">
        <v>176</v>
      </c>
      <c r="B86" s="107"/>
      <c r="C86" s="107"/>
      <c r="D86" s="107"/>
      <c r="E86" s="107"/>
      <c r="F86" s="107"/>
      <c r="G86" s="107"/>
      <c r="H86" s="107"/>
      <c r="I86" s="107"/>
      <c r="J86" s="107"/>
      <c r="K86" s="107"/>
      <c r="L86" s="108"/>
    </row>
    <row r="87" spans="1:12" x14ac:dyDescent="0.25">
      <c r="A87" s="37"/>
      <c r="L87" s="15"/>
    </row>
    <row r="88" spans="1:12" ht="15.6" customHeight="1" x14ac:dyDescent="0.25">
      <c r="A88" s="37"/>
      <c r="C88" s="67" t="s">
        <v>177</v>
      </c>
      <c r="D88" s="67"/>
      <c r="E88" s="67"/>
      <c r="F88" s="67"/>
      <c r="G88" s="67"/>
      <c r="H88" s="67"/>
      <c r="I88" s="67"/>
      <c r="L88" s="15"/>
    </row>
    <row r="89" spans="1:12" ht="16.149999999999999" customHeight="1" x14ac:dyDescent="0.3">
      <c r="A89" s="69"/>
      <c r="B89" s="21"/>
      <c r="D89" s="97" t="s">
        <v>178</v>
      </c>
      <c r="E89" s="97"/>
      <c r="F89" s="97"/>
      <c r="G89" s="97"/>
      <c r="H89" s="97"/>
      <c r="J89" s="21"/>
      <c r="K89" s="67"/>
      <c r="L89" s="68"/>
    </row>
    <row r="90" spans="1:12" ht="16.5" x14ac:dyDescent="0.3">
      <c r="A90" s="31"/>
      <c r="B90" s="67"/>
      <c r="J90" s="67"/>
      <c r="K90" s="67"/>
      <c r="L90" s="68"/>
    </row>
    <row r="91" spans="1:12" ht="16.5" x14ac:dyDescent="0.3">
      <c r="A91" s="69"/>
      <c r="B91" s="67"/>
      <c r="C91" s="67"/>
      <c r="I91" s="38"/>
      <c r="J91" s="38"/>
      <c r="K91" s="67"/>
      <c r="L91" s="68"/>
    </row>
    <row r="92" spans="1:12" ht="16.5" x14ac:dyDescent="0.3">
      <c r="A92" s="69"/>
      <c r="B92" s="71"/>
      <c r="C92" s="96" t="s">
        <v>179</v>
      </c>
      <c r="D92" s="96"/>
      <c r="E92" s="96"/>
      <c r="F92" s="71"/>
      <c r="G92" s="71"/>
      <c r="H92" s="70"/>
      <c r="I92" s="70"/>
      <c r="J92" s="70"/>
      <c r="K92" s="67"/>
      <c r="L92" s="68"/>
    </row>
    <row r="93" spans="1:12" ht="16.5" x14ac:dyDescent="0.25">
      <c r="A93" s="19"/>
      <c r="B93" s="71"/>
      <c r="C93" s="96" t="s">
        <v>180</v>
      </c>
      <c r="D93" s="96"/>
      <c r="E93" s="96"/>
      <c r="F93" s="71"/>
      <c r="G93" s="71"/>
      <c r="H93" s="38" t="s">
        <v>181</v>
      </c>
      <c r="I93" s="97"/>
      <c r="J93" s="97"/>
      <c r="K93" s="97"/>
      <c r="L93" s="98"/>
    </row>
    <row r="94" spans="1:12" ht="16.5" x14ac:dyDescent="0.3">
      <c r="A94" s="19"/>
      <c r="B94" s="96" t="s">
        <v>182</v>
      </c>
      <c r="C94" s="96"/>
      <c r="D94" s="96"/>
      <c r="E94" s="96"/>
      <c r="F94" s="71"/>
      <c r="G94" s="71"/>
      <c r="H94" s="73" t="s">
        <v>183</v>
      </c>
      <c r="I94" s="97"/>
      <c r="J94" s="97"/>
      <c r="K94" s="97"/>
      <c r="L94" s="98"/>
    </row>
    <row r="95" spans="1:12" ht="16.5" x14ac:dyDescent="0.3">
      <c r="A95" s="74"/>
      <c r="B95" s="99" t="s">
        <v>184</v>
      </c>
      <c r="C95" s="99"/>
      <c r="D95" s="99"/>
      <c r="E95" s="99"/>
      <c r="F95" s="75"/>
      <c r="G95" s="75"/>
      <c r="H95" s="76"/>
      <c r="I95" s="76"/>
      <c r="J95" s="76"/>
      <c r="K95" s="77"/>
      <c r="L95" s="78"/>
    </row>
    <row r="96" spans="1:12" ht="15.75" x14ac:dyDescent="0.3">
      <c r="A96" s="73"/>
      <c r="B96" s="79"/>
      <c r="C96" s="79"/>
      <c r="D96" s="79"/>
      <c r="E96" s="79"/>
      <c r="G96" s="72"/>
      <c r="H96" s="72"/>
      <c r="I96" s="72"/>
      <c r="J96" s="72"/>
    </row>
    <row r="97" spans="1:10" x14ac:dyDescent="0.25">
      <c r="A97" s="80"/>
      <c r="B97" s="79"/>
      <c r="C97" s="79"/>
      <c r="D97" s="79"/>
      <c r="E97" s="79"/>
      <c r="G97" s="72"/>
      <c r="H97" s="72"/>
      <c r="I97" s="72"/>
      <c r="J97" s="72"/>
    </row>
    <row r="98" spans="1:10" x14ac:dyDescent="0.25">
      <c r="A98" s="80"/>
      <c r="B98" s="79"/>
      <c r="C98" s="79"/>
      <c r="D98" s="79"/>
      <c r="E98" s="79"/>
      <c r="G98" s="72"/>
      <c r="H98" s="72"/>
      <c r="I98" s="72"/>
      <c r="J98" s="72"/>
    </row>
    <row r="99" spans="1:10" x14ac:dyDescent="0.25">
      <c r="A99" s="80"/>
      <c r="B99" s="79"/>
      <c r="C99" s="79"/>
      <c r="D99" s="79"/>
      <c r="E99" s="79"/>
    </row>
    <row r="100" spans="1:10" x14ac:dyDescent="0.25">
      <c r="A100" s="80"/>
    </row>
    <row r="101" spans="1:10" ht="15.75" x14ac:dyDescent="0.3">
      <c r="C101" s="73"/>
      <c r="D101" s="73"/>
      <c r="E101" s="73"/>
      <c r="F101" s="73"/>
      <c r="G101" s="73"/>
      <c r="H101" s="73"/>
    </row>
    <row r="103" spans="1:10" x14ac:dyDescent="0.25">
      <c r="B103" s="79"/>
      <c r="C103" s="79"/>
      <c r="D103" s="79"/>
      <c r="E103" s="79"/>
      <c r="F103" s="79"/>
      <c r="G103" s="79"/>
      <c r="H103" s="79"/>
      <c r="I103" s="79"/>
    </row>
    <row r="104" spans="1:10" x14ac:dyDescent="0.25">
      <c r="C104" s="79"/>
      <c r="D104" s="79"/>
      <c r="E104" s="79"/>
      <c r="F104" s="79"/>
      <c r="G104" s="79"/>
      <c r="H104" s="79"/>
    </row>
  </sheetData>
  <mergeCells count="142">
    <mergeCell ref="B13:E13"/>
    <mergeCell ref="I13:L13"/>
    <mergeCell ref="B14:E14"/>
    <mergeCell ref="I14:L14"/>
    <mergeCell ref="B7:E7"/>
    <mergeCell ref="I7:L7"/>
    <mergeCell ref="I8:L8"/>
    <mergeCell ref="C9:D9"/>
    <mergeCell ref="B1:C1"/>
    <mergeCell ref="I1:J1"/>
    <mergeCell ref="A3:I3"/>
    <mergeCell ref="B5:E5"/>
    <mergeCell ref="I5:L5"/>
    <mergeCell ref="B6:E6"/>
    <mergeCell ref="I6:L6"/>
    <mergeCell ref="B18:E18"/>
    <mergeCell ref="I18:L18"/>
    <mergeCell ref="B19:E19"/>
    <mergeCell ref="I19:L19"/>
    <mergeCell ref="D20:E20"/>
    <mergeCell ref="A21:B21"/>
    <mergeCell ref="C21:L21"/>
    <mergeCell ref="B15:E15"/>
    <mergeCell ref="I15:L15"/>
    <mergeCell ref="B16:E16"/>
    <mergeCell ref="I16:L16"/>
    <mergeCell ref="B17:E17"/>
    <mergeCell ref="I17:L17"/>
    <mergeCell ref="A35:L35"/>
    <mergeCell ref="A37:B37"/>
    <mergeCell ref="F37:I37"/>
    <mergeCell ref="A38:B38"/>
    <mergeCell ref="F38:I38"/>
    <mergeCell ref="A39:B39"/>
    <mergeCell ref="F39:I39"/>
    <mergeCell ref="C22:K22"/>
    <mergeCell ref="A23:L23"/>
    <mergeCell ref="A25:B25"/>
    <mergeCell ref="C25:D25"/>
    <mergeCell ref="E33:H33"/>
    <mergeCell ref="I33:J33"/>
    <mergeCell ref="A43:B43"/>
    <mergeCell ref="F43:I43"/>
    <mergeCell ref="A44:B44"/>
    <mergeCell ref="F44:I44"/>
    <mergeCell ref="A45:B45"/>
    <mergeCell ref="H45:I45"/>
    <mergeCell ref="A40:B40"/>
    <mergeCell ref="F40:I40"/>
    <mergeCell ref="A41:B41"/>
    <mergeCell ref="F41:I41"/>
    <mergeCell ref="A42:B42"/>
    <mergeCell ref="F42:I42"/>
    <mergeCell ref="G49:I49"/>
    <mergeCell ref="A50:L50"/>
    <mergeCell ref="A52:B52"/>
    <mergeCell ref="H52:I52"/>
    <mergeCell ref="J52:L52"/>
    <mergeCell ref="A53:B53"/>
    <mergeCell ref="H53:I53"/>
    <mergeCell ref="J53:L53"/>
    <mergeCell ref="A46:B46"/>
    <mergeCell ref="F46:I46"/>
    <mergeCell ref="B47:C47"/>
    <mergeCell ref="F47:I47"/>
    <mergeCell ref="B48:C48"/>
    <mergeCell ref="F48:I48"/>
    <mergeCell ref="A58:B58"/>
    <mergeCell ref="F58:H58"/>
    <mergeCell ref="J58:L58"/>
    <mergeCell ref="A59:B59"/>
    <mergeCell ref="F59:H59"/>
    <mergeCell ref="J59:L59"/>
    <mergeCell ref="A54:B54"/>
    <mergeCell ref="H54:I54"/>
    <mergeCell ref="J54:L54"/>
    <mergeCell ref="A55:B55"/>
    <mergeCell ref="A56:B56"/>
    <mergeCell ref="A57:B57"/>
    <mergeCell ref="F57:L57"/>
    <mergeCell ref="A62:B62"/>
    <mergeCell ref="F62:H62"/>
    <mergeCell ref="J62:L62"/>
    <mergeCell ref="F63:H63"/>
    <mergeCell ref="J63:L63"/>
    <mergeCell ref="F64:H64"/>
    <mergeCell ref="J64:L64"/>
    <mergeCell ref="A60:B60"/>
    <mergeCell ref="F60:H60"/>
    <mergeCell ref="J60:L60"/>
    <mergeCell ref="A61:B61"/>
    <mergeCell ref="F61:H61"/>
    <mergeCell ref="J61:L61"/>
    <mergeCell ref="A69:B69"/>
    <mergeCell ref="C69:D69"/>
    <mergeCell ref="I69:J69"/>
    <mergeCell ref="A70:B70"/>
    <mergeCell ref="C70:D70"/>
    <mergeCell ref="I70:J70"/>
    <mergeCell ref="A65:L65"/>
    <mergeCell ref="A67:B67"/>
    <mergeCell ref="C67:D67"/>
    <mergeCell ref="I67:L67"/>
    <mergeCell ref="A68:B68"/>
    <mergeCell ref="C68:D68"/>
    <mergeCell ref="I68:J68"/>
    <mergeCell ref="C74:D74"/>
    <mergeCell ref="A75:B75"/>
    <mergeCell ref="C75:D75"/>
    <mergeCell ref="A76:B76"/>
    <mergeCell ref="C76:D76"/>
    <mergeCell ref="A71:B71"/>
    <mergeCell ref="C71:D71"/>
    <mergeCell ref="I71:J71"/>
    <mergeCell ref="A72:B72"/>
    <mergeCell ref="C72:D72"/>
    <mergeCell ref="A73:B73"/>
    <mergeCell ref="C73:D73"/>
    <mergeCell ref="B94:E94"/>
    <mergeCell ref="I94:L94"/>
    <mergeCell ref="B95:E95"/>
    <mergeCell ref="B8:C8"/>
    <mergeCell ref="A11:F11"/>
    <mergeCell ref="A84:L84"/>
    <mergeCell ref="A86:L86"/>
    <mergeCell ref="D89:H89"/>
    <mergeCell ref="C92:E92"/>
    <mergeCell ref="C93:E93"/>
    <mergeCell ref="I93:L93"/>
    <mergeCell ref="A80:B80"/>
    <mergeCell ref="C80:D80"/>
    <mergeCell ref="A81:B81"/>
    <mergeCell ref="C81:D81"/>
    <mergeCell ref="A82:B82"/>
    <mergeCell ref="C82:D82"/>
    <mergeCell ref="A77:B77"/>
    <mergeCell ref="C77:D77"/>
    <mergeCell ref="A78:B78"/>
    <mergeCell ref="C78:D78"/>
    <mergeCell ref="A79:B79"/>
    <mergeCell ref="C79:D79"/>
    <mergeCell ref="A74:B74"/>
  </mergeCells>
  <printOptions horizontalCentered="1" verticalCentered="1"/>
  <pageMargins left="0.25" right="0.25" top="0.75" bottom="0.75" header="0.3" footer="0.3"/>
  <pageSetup paperSize="9" orientation="portrait" r:id="rId1"/>
  <headerFooter differentFirst="1" alignWithMargins="0">
    <firstHeader xml:space="preserve">&amp;C&amp;"Microsoft YaHei,Negrito"&amp;12RELATÓRIO DE AVALIAÇÃO FÍSICA E SENSORIAL &amp;"-,Regular"&amp;11
</first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Planilha1</vt:lpstr>
      <vt:lpstr>DADOS</vt:lpstr>
      <vt:lpstr>Planilha3</vt:lpstr>
      <vt:lpstr>RELATORIO</vt:lpstr>
      <vt:lpstr>Defeitos</vt:lpstr>
      <vt:lpstr>Extrinsecos</vt:lpstr>
      <vt:lpstr>Intrinsecos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Pamella Barbosa</dc:creator>
  <cp:lastModifiedBy>Waldir Alcantara</cp:lastModifiedBy>
  <dcterms:created xsi:type="dcterms:W3CDTF">2024-09-08T03:49:32Z</dcterms:created>
  <dcterms:modified xsi:type="dcterms:W3CDTF">2024-09-30T19:33:02Z</dcterms:modified>
</cp:coreProperties>
</file>